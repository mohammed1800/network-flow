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usain\Documents\SEM V\SEC NETWORK FLOW\"/>
    </mc:Choice>
  </mc:AlternateContent>
  <bookViews>
    <workbookView xWindow="0" yWindow="0" windowWidth="23040" windowHeight="9384"/>
  </bookViews>
  <sheets>
    <sheet name="1" sheetId="1" r:id="rId1"/>
    <sheet name="2" sheetId="2" r:id="rId2"/>
    <sheet name="3" sheetId="3" r:id="rId3"/>
  </sheets>
  <definedNames>
    <definedName name="solver_adj" localSheetId="0" hidden="1">'1'!$F$18:$J$20</definedName>
    <definedName name="solver_adj" localSheetId="1" hidden="1">'2'!$F$14:$J$16</definedName>
    <definedName name="solver_adj" localSheetId="2" hidden="1">'3'!$F$15:$J$17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2</definedName>
    <definedName name="solver_drv" localSheetId="1" hidden="1">2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'1'!$F$21:$J$21</definedName>
    <definedName name="solver_lhs1" localSheetId="1" hidden="1">'2'!$F$17:$J$17</definedName>
    <definedName name="solver_lhs1" localSheetId="2" hidden="1">'3'!$F$18:$J$18</definedName>
    <definedName name="solver_lhs2" localSheetId="0" hidden="1">'1'!$K$18:$K$20</definedName>
    <definedName name="solver_lhs2" localSheetId="1" hidden="1">'2'!$K$14:$K$16</definedName>
    <definedName name="solver_lhs2" localSheetId="2" hidden="1">'3'!$K$15:$K$17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'1'!$M$22</definedName>
    <definedName name="solver_opt" localSheetId="1" hidden="1">'2'!$M$18</definedName>
    <definedName name="solver_opt" localSheetId="2" hidden="1">'3'!$M$19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2</definedName>
    <definedName name="solver_rbv" localSheetId="1" hidden="1">2</definedName>
    <definedName name="solver_rbv" localSheetId="2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hs1" localSheetId="0" hidden="1">'1'!$F$23:$J$23</definedName>
    <definedName name="solver_rhs1" localSheetId="1" hidden="1">'2'!$F$19:$J$19</definedName>
    <definedName name="solver_rhs1" localSheetId="2" hidden="1">'3'!$F$20:$J$20</definedName>
    <definedName name="solver_rhs2" localSheetId="0" hidden="1">'1'!$M$18:$M$20</definedName>
    <definedName name="solver_rhs2" localSheetId="1" hidden="1">'2'!$M$14:$M$16</definedName>
    <definedName name="solver_rhs2" localSheetId="2" hidden="1">'3'!$M$15:$M$17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2</definedName>
    <definedName name="solver_scl" localSheetId="1" hidden="1">2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3" l="1"/>
  <c r="G18" i="3"/>
  <c r="H18" i="3"/>
  <c r="I18" i="3"/>
  <c r="J18" i="3"/>
  <c r="F18" i="3"/>
  <c r="K16" i="3"/>
  <c r="K17" i="3"/>
  <c r="K15" i="3"/>
  <c r="M18" i="2"/>
  <c r="M22" i="1"/>
  <c r="G17" i="2"/>
  <c r="H17" i="2"/>
  <c r="I17" i="2"/>
  <c r="J17" i="2"/>
  <c r="F17" i="2"/>
  <c r="K15" i="2"/>
  <c r="K16" i="2"/>
  <c r="K14" i="2"/>
  <c r="N10" i="3" l="1"/>
  <c r="N9" i="3"/>
  <c r="O9" i="2"/>
  <c r="O8" i="2"/>
  <c r="O13" i="1"/>
  <c r="O14" i="1"/>
  <c r="K18" i="1"/>
  <c r="K19" i="1"/>
  <c r="K20" i="1"/>
  <c r="F21" i="1"/>
  <c r="G21" i="1"/>
  <c r="H21" i="1"/>
  <c r="I21" i="1"/>
  <c r="J21" i="1"/>
</calcChain>
</file>

<file path=xl/sharedStrings.xml><?xml version="1.0" encoding="utf-8"?>
<sst xmlns="http://schemas.openxmlformats.org/spreadsheetml/2006/main" count="150" uniqueCount="42">
  <si>
    <t>Demand</t>
  </si>
  <si>
    <t>=</t>
  </si>
  <si>
    <t>Total Cost</t>
  </si>
  <si>
    <t>Totals</t>
  </si>
  <si>
    <t>o3</t>
  </si>
  <si>
    <t>o2</t>
  </si>
  <si>
    <t>Source:</t>
  </si>
  <si>
    <t>o1</t>
  </si>
  <si>
    <t>Supply</t>
  </si>
  <si>
    <t>d5</t>
  </si>
  <si>
    <t>d4</t>
  </si>
  <si>
    <t>d3</t>
  </si>
  <si>
    <t>d2</t>
  </si>
  <si>
    <t>d1</t>
  </si>
  <si>
    <t>Solution Matrix:</t>
  </si>
  <si>
    <t xml:space="preserve">          Destination (Market)</t>
  </si>
  <si>
    <t>Unit Cost by Rail ($1,000's)</t>
  </si>
  <si>
    <t>demand</t>
  </si>
  <si>
    <t>supply</t>
  </si>
  <si>
    <t>sum</t>
  </si>
  <si>
    <t>Question -3</t>
  </si>
  <si>
    <t>Source</t>
  </si>
  <si>
    <t xml:space="preserve"> </t>
  </si>
  <si>
    <t xml:space="preserve">               Destination (Market)</t>
  </si>
  <si>
    <t>Transportation Problem (Cost Matrix):</t>
  </si>
  <si>
    <t xml:space="preserve"> (Shipping Wood to Market by Rail)</t>
  </si>
  <si>
    <t>Transportation Problem</t>
  </si>
  <si>
    <t>Unit 3 ( Case Study )</t>
  </si>
  <si>
    <t>Question -1</t>
  </si>
  <si>
    <t>Cost Matrix (By Ship)</t>
  </si>
  <si>
    <t>Destination</t>
  </si>
  <si>
    <t>Sum</t>
  </si>
  <si>
    <t xml:space="preserve"> (Shipping Wood to Market by Ship)</t>
  </si>
  <si>
    <t>Cost Matrix (Minimum)</t>
  </si>
  <si>
    <t>Rail or Ship</t>
  </si>
  <si>
    <t>Total</t>
  </si>
  <si>
    <t>Total cost</t>
  </si>
  <si>
    <t>Question -2</t>
  </si>
  <si>
    <t xml:space="preserve"> (Shipping Wood to Market by Ship and Rail)</t>
  </si>
  <si>
    <t>Name - Husain Hashemi</t>
  </si>
  <si>
    <t>Course - Bvoc Software Development</t>
  </si>
  <si>
    <t>Roll No. - 20222727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</si>
</sst>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6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indexed="64"/>
      </left>
      <right/>
      <top/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4" borderId="1" applyNumberFormat="0" applyAlignment="0" applyProtection="0"/>
    <xf numFmtId="0" fontId="5" fillId="0" borderId="3" applyNumberFormat="0" applyFill="0" applyAlignment="0" applyProtection="0"/>
  </cellStyleXfs>
  <cellXfs count="81"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3" borderId="1" xfId="2" applyFont="1" applyAlignment="1">
      <alignment horizontal="center"/>
    </xf>
    <xf numFmtId="0" fontId="5" fillId="0" borderId="0" xfId="0" applyFont="1"/>
    <xf numFmtId="0" fontId="8" fillId="4" borderId="1" xfId="4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3" xfId="5" applyFont="1" applyAlignment="1">
      <alignment horizontal="center"/>
    </xf>
    <xf numFmtId="0" fontId="5" fillId="0" borderId="0" xfId="0" applyFont="1" applyAlignment="1">
      <alignment horizontal="center"/>
    </xf>
    <xf numFmtId="0" fontId="10" fillId="2" borderId="0" xfId="1" applyFont="1" applyAlignment="1">
      <alignment horizontal="center"/>
    </xf>
    <xf numFmtId="0" fontId="11" fillId="4" borderId="2" xfId="3" applyFont="1" applyAlignment="1">
      <alignment horizontal="center"/>
    </xf>
    <xf numFmtId="0" fontId="9" fillId="0" borderId="0" xfId="0" applyFo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0" xfId="0" applyFont="1"/>
    <xf numFmtId="1" fontId="12" fillId="5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6" fillId="0" borderId="9" xfId="0" applyFont="1" applyBorder="1" applyAlignment="1">
      <alignment horizontal="center"/>
    </xf>
    <xf numFmtId="1" fontId="7" fillId="3" borderId="10" xfId="2" applyNumberFormat="1" applyFont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1" fontId="7" fillId="3" borderId="1" xfId="2" applyNumberFormat="1" applyFont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5" fillId="0" borderId="0" xfId="0" applyFont="1"/>
    <xf numFmtId="0" fontId="13" fillId="5" borderId="0" xfId="0" applyFont="1" applyFill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15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13" fillId="5" borderId="0" xfId="0" applyFont="1" applyFill="1" applyAlignment="1">
      <alignment horizontal="left"/>
    </xf>
    <xf numFmtId="0" fontId="13" fillId="5" borderId="7" xfId="0" applyFont="1" applyFill="1" applyBorder="1" applyAlignment="1">
      <alignment horizontal="left"/>
    </xf>
    <xf numFmtId="0" fontId="13" fillId="5" borderId="8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7" fillId="5" borderId="0" xfId="0" applyFont="1" applyFill="1"/>
    <xf numFmtId="49" fontId="17" fillId="5" borderId="0" xfId="0" applyNumberFormat="1" applyFont="1" applyFill="1" applyAlignment="1">
      <alignment horizontal="left" readingOrder="1"/>
    </xf>
    <xf numFmtId="0" fontId="11" fillId="4" borderId="2" xfId="3" applyFont="1" applyAlignment="1">
      <alignment horizontal="center"/>
    </xf>
    <xf numFmtId="0" fontId="10" fillId="2" borderId="0" xfId="1" applyFont="1" applyAlignment="1">
      <alignment horizontal="center"/>
    </xf>
    <xf numFmtId="0" fontId="7" fillId="3" borderId="1" xfId="2" applyFont="1" applyAlignment="1">
      <alignment horizontal="center"/>
    </xf>
    <xf numFmtId="164" fontId="20" fillId="3" borderId="17" xfId="2" applyNumberFormat="1" applyFont="1" applyBorder="1" applyAlignment="1">
      <alignment horizontal="center"/>
    </xf>
    <xf numFmtId="164" fontId="20" fillId="3" borderId="18" xfId="2" applyNumberFormat="1" applyFont="1" applyBorder="1" applyAlignment="1">
      <alignment horizontal="center"/>
    </xf>
    <xf numFmtId="164" fontId="20" fillId="3" borderId="19" xfId="2" applyNumberFormat="1" applyFont="1" applyBorder="1" applyAlignment="1">
      <alignment horizontal="center"/>
    </xf>
    <xf numFmtId="164" fontId="20" fillId="3" borderId="20" xfId="2" applyNumberFormat="1" applyFont="1" applyBorder="1" applyAlignment="1">
      <alignment horizontal="center"/>
    </xf>
    <xf numFmtId="164" fontId="20" fillId="3" borderId="1" xfId="2" applyNumberFormat="1" applyFont="1" applyAlignment="1">
      <alignment horizontal="center"/>
    </xf>
    <xf numFmtId="164" fontId="20" fillId="3" borderId="21" xfId="2" applyNumberFormat="1" applyFont="1" applyBorder="1" applyAlignment="1">
      <alignment horizontal="center"/>
    </xf>
    <xf numFmtId="164" fontId="20" fillId="3" borderId="22" xfId="2" applyNumberFormat="1" applyFont="1" applyBorder="1" applyAlignment="1">
      <alignment horizontal="center"/>
    </xf>
    <xf numFmtId="164" fontId="20" fillId="3" borderId="23" xfId="2" applyNumberFormat="1" applyFont="1" applyBorder="1" applyAlignment="1">
      <alignment horizontal="center"/>
    </xf>
    <xf numFmtId="164" fontId="20" fillId="3" borderId="24" xfId="2" applyNumberFormat="1" applyFont="1" applyBorder="1" applyAlignment="1">
      <alignment horizontal="center"/>
    </xf>
    <xf numFmtId="0" fontId="21" fillId="4" borderId="1" xfId="4" applyFont="1" applyAlignment="1">
      <alignment horizontal="center"/>
    </xf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2" fillId="5" borderId="0" xfId="0" applyFont="1" applyFill="1"/>
    <xf numFmtId="49" fontId="17" fillId="5" borderId="0" xfId="0" applyNumberFormat="1" applyFont="1" applyFill="1" applyAlignment="1">
      <alignment horizontal="left" readingOrder="1"/>
    </xf>
    <xf numFmtId="0" fontId="18" fillId="0" borderId="0" xfId="0" applyFont="1" applyAlignment="1">
      <alignment horizontal="center"/>
    </xf>
    <xf numFmtId="0" fontId="19" fillId="5" borderId="0" xfId="0" applyFont="1" applyFill="1"/>
    <xf numFmtId="0" fontId="9" fillId="0" borderId="0" xfId="0" applyFont="1"/>
    <xf numFmtId="0" fontId="11" fillId="4" borderId="2" xfId="3" applyFont="1" applyAlignment="1">
      <alignment horizontal="center"/>
    </xf>
    <xf numFmtId="0" fontId="10" fillId="2" borderId="0" xfId="1" applyFont="1" applyAlignment="1">
      <alignment horizontal="center"/>
    </xf>
    <xf numFmtId="0" fontId="7" fillId="3" borderId="1" xfId="2" applyFont="1" applyAlignment="1">
      <alignment horizontal="center"/>
    </xf>
    <xf numFmtId="164" fontId="20" fillId="3" borderId="17" xfId="2" applyNumberFormat="1" applyFont="1" applyBorder="1" applyAlignment="1">
      <alignment horizontal="center"/>
    </xf>
    <xf numFmtId="0" fontId="6" fillId="0" borderId="3" xfId="5" applyFont="1" applyAlignment="1">
      <alignment horizontal="center"/>
    </xf>
    <xf numFmtId="0" fontId="8" fillId="4" borderId="2" xfId="3" applyFont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6">
    <cellStyle name="Calculation" xfId="4" builtinId="22"/>
    <cellStyle name="Good" xfId="1" builtinId="26"/>
    <cellStyle name="Input" xfId="2" builtinId="20"/>
    <cellStyle name="Normal" xfId="0" builtinId="0"/>
    <cellStyle name="Output" xfId="3" builtinId="21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="79" workbookViewId="0">
      <selection activeCell="A20" sqref="A20"/>
    </sheetView>
  </sheetViews>
  <sheetFormatPr defaultRowHeight="14.4" x14ac:dyDescent="0.3"/>
  <cols>
    <col min="1" max="1" width="38.6640625" customWidth="1"/>
    <col min="11" max="11" width="13.109375" customWidth="1"/>
  </cols>
  <sheetData>
    <row r="1" spans="1:15" ht="15.6" x14ac:dyDescent="0.3">
      <c r="G1" s="79" t="s">
        <v>27</v>
      </c>
      <c r="H1" s="79"/>
      <c r="I1" s="79"/>
    </row>
    <row r="2" spans="1:15" ht="15.6" x14ac:dyDescent="0.3">
      <c r="G2" s="79" t="s">
        <v>26</v>
      </c>
      <c r="H2" s="79"/>
      <c r="I2" s="79"/>
    </row>
    <row r="3" spans="1:15" x14ac:dyDescent="0.3">
      <c r="G3" t="s">
        <v>25</v>
      </c>
    </row>
    <row r="5" spans="1:15" ht="21" x14ac:dyDescent="0.4">
      <c r="A5" s="29" t="s">
        <v>39</v>
      </c>
      <c r="C5" t="s">
        <v>24</v>
      </c>
    </row>
    <row r="6" spans="1:15" ht="21" x14ac:dyDescent="0.4">
      <c r="A6" s="29" t="s">
        <v>40</v>
      </c>
    </row>
    <row r="7" spans="1:15" ht="21" x14ac:dyDescent="0.4">
      <c r="A7" s="29" t="s">
        <v>41</v>
      </c>
      <c r="E7" s="34"/>
      <c r="F7" s="74" t="s">
        <v>16</v>
      </c>
      <c r="G7" s="75"/>
      <c r="H7" s="75"/>
      <c r="I7" s="75"/>
      <c r="J7" s="76"/>
      <c r="K7" s="39"/>
    </row>
    <row r="8" spans="1:15" x14ac:dyDescent="0.3">
      <c r="E8" s="38"/>
      <c r="F8" s="38" t="s">
        <v>22</v>
      </c>
      <c r="G8" s="30" t="s">
        <v>23</v>
      </c>
      <c r="H8" s="30"/>
      <c r="I8" s="30" t="s">
        <v>22</v>
      </c>
      <c r="J8" s="37" t="s">
        <v>22</v>
      </c>
      <c r="K8" s="36"/>
    </row>
    <row r="9" spans="1:15" ht="15.6" x14ac:dyDescent="0.3">
      <c r="E9" s="35" t="s">
        <v>21</v>
      </c>
      <c r="F9" s="34" t="s">
        <v>13</v>
      </c>
      <c r="G9" s="33" t="s">
        <v>12</v>
      </c>
      <c r="H9" s="33" t="s">
        <v>11</v>
      </c>
      <c r="I9" s="33" t="s">
        <v>10</v>
      </c>
      <c r="J9" s="32" t="s">
        <v>9</v>
      </c>
      <c r="K9" s="31" t="s">
        <v>8</v>
      </c>
    </row>
    <row r="10" spans="1:15" ht="21" x14ac:dyDescent="0.4">
      <c r="A10" s="29" t="s">
        <v>28</v>
      </c>
      <c r="E10" s="28" t="s">
        <v>7</v>
      </c>
      <c r="F10" s="25">
        <v>61</v>
      </c>
      <c r="G10" s="25">
        <v>72</v>
      </c>
      <c r="H10" s="25">
        <v>45</v>
      </c>
      <c r="I10" s="25">
        <v>55</v>
      </c>
      <c r="J10" s="25">
        <v>66</v>
      </c>
      <c r="K10" s="27">
        <v>15</v>
      </c>
    </row>
    <row r="11" spans="1:15" ht="18" x14ac:dyDescent="0.35">
      <c r="E11" s="26" t="s">
        <v>5</v>
      </c>
      <c r="F11" s="25">
        <v>69</v>
      </c>
      <c r="G11" s="25">
        <v>78</v>
      </c>
      <c r="H11" s="25">
        <v>60</v>
      </c>
      <c r="I11" s="25">
        <v>49</v>
      </c>
      <c r="J11" s="25">
        <v>56</v>
      </c>
      <c r="K11" s="24">
        <v>20</v>
      </c>
    </row>
    <row r="12" spans="1:15" ht="18" x14ac:dyDescent="0.35">
      <c r="E12" s="23" t="s">
        <v>4</v>
      </c>
      <c r="F12" s="22">
        <v>59</v>
      </c>
      <c r="G12" s="22">
        <v>66</v>
      </c>
      <c r="H12" s="22">
        <v>63</v>
      </c>
      <c r="I12" s="22">
        <v>61</v>
      </c>
      <c r="J12" s="22">
        <v>47</v>
      </c>
      <c r="K12" s="21">
        <v>15</v>
      </c>
      <c r="N12" t="s">
        <v>19</v>
      </c>
    </row>
    <row r="13" spans="1:15" ht="18" x14ac:dyDescent="0.35">
      <c r="E13" s="20" t="s">
        <v>0</v>
      </c>
      <c r="F13" s="19">
        <v>11</v>
      </c>
      <c r="G13" s="1">
        <v>12</v>
      </c>
      <c r="H13" s="1">
        <v>9</v>
      </c>
      <c r="I13" s="1">
        <v>10</v>
      </c>
      <c r="J13" s="18">
        <v>8</v>
      </c>
      <c r="N13" t="s">
        <v>18</v>
      </c>
      <c r="O13">
        <f>SUM(K10:K12)</f>
        <v>50</v>
      </c>
    </row>
    <row r="14" spans="1:15" x14ac:dyDescent="0.3">
      <c r="D14" s="17"/>
      <c r="E14" s="16"/>
      <c r="F14" s="16"/>
      <c r="G14" s="16"/>
      <c r="H14" s="16"/>
      <c r="I14" s="16"/>
      <c r="J14" s="16"/>
      <c r="N14" t="s">
        <v>17</v>
      </c>
      <c r="O14">
        <f>SUM(F13:J13)</f>
        <v>50</v>
      </c>
    </row>
    <row r="15" spans="1:15" ht="18" x14ac:dyDescent="0.35">
      <c r="C15" s="15"/>
      <c r="F15" s="77" t="s">
        <v>16</v>
      </c>
      <c r="G15" s="78"/>
      <c r="H15" s="78"/>
      <c r="I15" s="78"/>
      <c r="J15" s="78"/>
    </row>
    <row r="16" spans="1:15" x14ac:dyDescent="0.3">
      <c r="E16" s="4"/>
      <c r="F16" s="4"/>
      <c r="G16" s="4" t="s">
        <v>15</v>
      </c>
      <c r="H16" s="4"/>
      <c r="I16" s="4"/>
      <c r="J16" s="4"/>
      <c r="M16" s="4"/>
    </row>
    <row r="17" spans="3:13" ht="18" x14ac:dyDescent="0.35">
      <c r="C17" s="15" t="s">
        <v>14</v>
      </c>
      <c r="D17" s="15"/>
      <c r="E17" s="8"/>
      <c r="F17" s="14" t="s">
        <v>13</v>
      </c>
      <c r="G17" s="13" t="s">
        <v>12</v>
      </c>
      <c r="H17" s="13" t="s">
        <v>11</v>
      </c>
      <c r="I17" s="13" t="s">
        <v>10</v>
      </c>
      <c r="J17" s="12" t="s">
        <v>9</v>
      </c>
      <c r="K17" s="1" t="s">
        <v>3</v>
      </c>
      <c r="M17" s="1" t="s">
        <v>8</v>
      </c>
    </row>
    <row r="18" spans="3:13" ht="18" x14ac:dyDescent="0.35">
      <c r="D18" s="4"/>
      <c r="E18" s="8" t="s">
        <v>7</v>
      </c>
      <c r="F18" s="10">
        <v>6</v>
      </c>
      <c r="G18" s="10">
        <v>0</v>
      </c>
      <c r="H18" s="10">
        <v>9</v>
      </c>
      <c r="I18" s="10">
        <v>0</v>
      </c>
      <c r="J18" s="10">
        <v>0</v>
      </c>
      <c r="K18" s="9">
        <f>SUM(E18:J18)</f>
        <v>15</v>
      </c>
      <c r="L18" s="6" t="s">
        <v>1</v>
      </c>
      <c r="M18" s="3">
        <v>15</v>
      </c>
    </row>
    <row r="19" spans="3:13" ht="18" x14ac:dyDescent="0.35">
      <c r="D19" s="11" t="s">
        <v>6</v>
      </c>
      <c r="E19" s="8" t="s">
        <v>5</v>
      </c>
      <c r="F19" s="10">
        <v>2</v>
      </c>
      <c r="G19" s="10">
        <v>0</v>
      </c>
      <c r="H19" s="10">
        <v>0</v>
      </c>
      <c r="I19" s="10">
        <v>10</v>
      </c>
      <c r="J19" s="10">
        <v>8</v>
      </c>
      <c r="K19" s="9">
        <f>SUM(F19:J19)</f>
        <v>20</v>
      </c>
      <c r="L19" s="6" t="s">
        <v>1</v>
      </c>
      <c r="M19" s="3">
        <v>20</v>
      </c>
    </row>
    <row r="20" spans="3:13" ht="18" x14ac:dyDescent="0.35">
      <c r="D20" s="4"/>
      <c r="E20" s="8" t="s">
        <v>4</v>
      </c>
      <c r="F20" s="10">
        <v>3</v>
      </c>
      <c r="G20" s="10">
        <v>12</v>
      </c>
      <c r="H20" s="10">
        <v>0</v>
      </c>
      <c r="I20" s="10">
        <v>0</v>
      </c>
      <c r="J20" s="10">
        <v>0</v>
      </c>
      <c r="K20" s="9">
        <f>SUM(F20:J20)</f>
        <v>15</v>
      </c>
      <c r="L20" s="6" t="s">
        <v>1</v>
      </c>
      <c r="M20" s="3">
        <v>15</v>
      </c>
    </row>
    <row r="21" spans="3:13" ht="18" x14ac:dyDescent="0.35">
      <c r="D21" s="4"/>
      <c r="E21" s="1" t="s">
        <v>3</v>
      </c>
      <c r="F21" s="9">
        <f>SUM(F18:F20)</f>
        <v>11</v>
      </c>
      <c r="G21" s="9">
        <f>SUM(G18:G20)</f>
        <v>12</v>
      </c>
      <c r="H21" s="9">
        <f>SUM(H18:H20)</f>
        <v>9</v>
      </c>
      <c r="I21" s="9">
        <f>SUM(I18:I20)</f>
        <v>10</v>
      </c>
      <c r="J21" s="9">
        <f>SUM(J18:J20)</f>
        <v>8</v>
      </c>
      <c r="K21" s="2"/>
      <c r="L21" s="2"/>
      <c r="M21" s="2"/>
    </row>
    <row r="22" spans="3:13" ht="21.6" thickBot="1" x14ac:dyDescent="0.45">
      <c r="D22" s="4"/>
      <c r="E22" s="8"/>
      <c r="F22" s="6" t="s">
        <v>1</v>
      </c>
      <c r="G22" s="6" t="s">
        <v>1</v>
      </c>
      <c r="H22" s="6" t="s">
        <v>1</v>
      </c>
      <c r="I22" s="6" t="s">
        <v>1</v>
      </c>
      <c r="J22" s="6" t="s">
        <v>1</v>
      </c>
      <c r="K22" s="7" t="s">
        <v>2</v>
      </c>
      <c r="L22" s="6" t="s">
        <v>1</v>
      </c>
      <c r="M22" s="5">
        <f>SUMPRODUCT(F10:J12,F18:J20)</f>
        <v>2816</v>
      </c>
    </row>
    <row r="23" spans="3:13" ht="18.600000000000001" thickTop="1" x14ac:dyDescent="0.35">
      <c r="D23" s="4"/>
      <c r="E23" s="1" t="s">
        <v>0</v>
      </c>
      <c r="F23" s="3">
        <v>11</v>
      </c>
      <c r="G23" s="3">
        <v>12</v>
      </c>
      <c r="H23" s="3">
        <v>9</v>
      </c>
      <c r="I23" s="3">
        <v>10</v>
      </c>
      <c r="J23" s="3">
        <v>8</v>
      </c>
      <c r="K23" s="2"/>
      <c r="L23" s="2"/>
      <c r="M23" s="2"/>
    </row>
    <row r="24" spans="3:13" ht="18" x14ac:dyDescent="0.35">
      <c r="D24" s="1"/>
      <c r="E24" s="1"/>
    </row>
  </sheetData>
  <mergeCells count="4">
    <mergeCell ref="F7:J7"/>
    <mergeCell ref="F15:J15"/>
    <mergeCell ref="G1:I1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zoomScale="108" zoomScaleNormal="85" workbookViewId="0">
      <selection activeCell="A5" sqref="A5:A7"/>
    </sheetView>
  </sheetViews>
  <sheetFormatPr defaultRowHeight="14.4" x14ac:dyDescent="0.3"/>
  <cols>
    <col min="1" max="1" width="41.88671875" style="40" customWidth="1"/>
    <col min="2" max="2" width="8.88671875" style="40"/>
    <col min="11" max="11" width="11.88671875" customWidth="1"/>
  </cols>
  <sheetData>
    <row r="1" spans="1:16" s="40" customFormat="1" ht="15.6" x14ac:dyDescent="0.3">
      <c r="H1" s="79" t="s">
        <v>27</v>
      </c>
      <c r="I1" s="79"/>
      <c r="J1" s="79"/>
      <c r="K1" s="79"/>
    </row>
    <row r="2" spans="1:16" s="40" customFormat="1" ht="15.6" x14ac:dyDescent="0.3">
      <c r="H2" s="79" t="s">
        <v>26</v>
      </c>
      <c r="I2" s="79"/>
      <c r="J2" s="79"/>
      <c r="K2" s="79"/>
    </row>
    <row r="3" spans="1:16" s="40" customFormat="1" x14ac:dyDescent="0.3">
      <c r="H3" s="80" t="s">
        <v>32</v>
      </c>
      <c r="I3" s="80"/>
      <c r="J3" s="80"/>
      <c r="K3" s="80"/>
    </row>
    <row r="4" spans="1:16" s="40" customFormat="1" x14ac:dyDescent="0.3">
      <c r="H4" s="42"/>
      <c r="I4" s="42"/>
      <c r="J4" s="42"/>
      <c r="K4" s="42"/>
    </row>
    <row r="5" spans="1:16" ht="21" x14ac:dyDescent="0.4">
      <c r="A5" s="29" t="s">
        <v>39</v>
      </c>
      <c r="C5" s="41" t="s">
        <v>29</v>
      </c>
      <c r="D5" s="41"/>
      <c r="E5" s="45"/>
      <c r="F5" s="44"/>
      <c r="G5" s="44" t="s">
        <v>30</v>
      </c>
      <c r="H5" s="44"/>
      <c r="I5" s="44"/>
      <c r="J5" s="41"/>
      <c r="K5" s="41"/>
      <c r="L5" s="41"/>
      <c r="M5" s="41"/>
      <c r="N5" s="40"/>
      <c r="O5" s="40"/>
      <c r="P5" s="40"/>
    </row>
    <row r="6" spans="1:16" ht="21.6" thickBot="1" x14ac:dyDescent="0.45">
      <c r="A6" s="29" t="s">
        <v>40</v>
      </c>
      <c r="C6" s="41"/>
      <c r="D6" s="41"/>
      <c r="E6" s="43"/>
      <c r="F6" s="43" t="s">
        <v>13</v>
      </c>
      <c r="G6" s="43" t="s">
        <v>12</v>
      </c>
      <c r="H6" s="43" t="s">
        <v>11</v>
      </c>
      <c r="I6" s="43" t="s">
        <v>10</v>
      </c>
      <c r="J6" s="43" t="s">
        <v>9</v>
      </c>
      <c r="K6" s="43" t="s">
        <v>8</v>
      </c>
      <c r="L6" s="41"/>
      <c r="M6" s="41"/>
      <c r="N6" s="40"/>
      <c r="O6" s="40"/>
      <c r="P6" s="40"/>
    </row>
    <row r="7" spans="1:16" ht="21" x14ac:dyDescent="0.4">
      <c r="A7" s="29" t="s">
        <v>41</v>
      </c>
      <c r="C7" s="41"/>
      <c r="D7" s="41"/>
      <c r="E7" s="43" t="s">
        <v>7</v>
      </c>
      <c r="F7" s="49">
        <v>58.5</v>
      </c>
      <c r="G7" s="49">
        <v>68.3</v>
      </c>
      <c r="H7" s="50">
        <v>47.8</v>
      </c>
      <c r="I7" s="50">
        <v>55</v>
      </c>
      <c r="J7" s="51">
        <v>63.5</v>
      </c>
      <c r="K7" s="48">
        <v>15</v>
      </c>
      <c r="L7" s="41"/>
      <c r="M7" s="41"/>
      <c r="N7" s="40" t="s">
        <v>31</v>
      </c>
      <c r="O7" s="40"/>
      <c r="P7" s="40"/>
    </row>
    <row r="8" spans="1:16" ht="18" x14ac:dyDescent="0.35">
      <c r="C8" s="41"/>
      <c r="D8" s="41" t="s">
        <v>6</v>
      </c>
      <c r="E8" s="43" t="s">
        <v>5</v>
      </c>
      <c r="F8" s="52">
        <v>65.3</v>
      </c>
      <c r="G8" s="53">
        <v>74.8</v>
      </c>
      <c r="H8" s="53">
        <v>55</v>
      </c>
      <c r="I8" s="53">
        <v>49</v>
      </c>
      <c r="J8" s="54">
        <v>57.5</v>
      </c>
      <c r="K8" s="48">
        <v>20</v>
      </c>
      <c r="L8" s="41"/>
      <c r="M8" s="41"/>
      <c r="N8" s="40" t="s">
        <v>8</v>
      </c>
      <c r="O8" s="40">
        <f>SUM(K7:K9)</f>
        <v>50</v>
      </c>
      <c r="P8" s="40"/>
    </row>
    <row r="9" spans="1:16" ht="18.600000000000001" thickBot="1" x14ac:dyDescent="0.4">
      <c r="C9" s="41"/>
      <c r="D9" s="41"/>
      <c r="E9" s="43" t="s">
        <v>4</v>
      </c>
      <c r="F9" s="55">
        <v>59</v>
      </c>
      <c r="G9" s="56">
        <v>61.3</v>
      </c>
      <c r="H9" s="56">
        <v>63.5</v>
      </c>
      <c r="I9" s="56">
        <v>58.8</v>
      </c>
      <c r="J9" s="57">
        <v>50</v>
      </c>
      <c r="K9" s="48">
        <v>15</v>
      </c>
      <c r="L9" s="41"/>
      <c r="M9" s="41"/>
      <c r="N9" s="40" t="s">
        <v>0</v>
      </c>
      <c r="O9" s="40">
        <f>SUM(F10:J10)</f>
        <v>50</v>
      </c>
      <c r="P9" s="40"/>
    </row>
    <row r="10" spans="1:16" s="40" customFormat="1" ht="21" x14ac:dyDescent="0.4">
      <c r="A10" s="29" t="s">
        <v>37</v>
      </c>
      <c r="C10" s="41"/>
      <c r="D10" s="41"/>
      <c r="E10" s="43" t="s">
        <v>0</v>
      </c>
      <c r="F10" s="48">
        <v>11</v>
      </c>
      <c r="G10" s="48">
        <v>12</v>
      </c>
      <c r="H10" s="48">
        <v>9</v>
      </c>
      <c r="I10" s="48">
        <v>10</v>
      </c>
      <c r="J10" s="48">
        <v>8</v>
      </c>
      <c r="K10" s="48"/>
      <c r="L10" s="41"/>
      <c r="M10" s="41"/>
    </row>
    <row r="11" spans="1:16" s="40" customFormat="1" ht="18" x14ac:dyDescent="0.35">
      <c r="C11" s="41"/>
      <c r="M11" s="41"/>
    </row>
    <row r="12" spans="1:16" ht="18" x14ac:dyDescent="0.35">
      <c r="C12" s="41"/>
      <c r="D12" s="41"/>
      <c r="E12" s="41"/>
      <c r="F12" s="41"/>
      <c r="G12" s="41" t="s">
        <v>30</v>
      </c>
      <c r="H12" s="41"/>
      <c r="I12" s="41"/>
      <c r="J12" s="41"/>
      <c r="K12" s="41"/>
      <c r="L12" s="41"/>
      <c r="M12" s="41"/>
      <c r="N12" s="40"/>
      <c r="O12" s="40"/>
      <c r="P12" s="40"/>
    </row>
    <row r="13" spans="1:16" ht="18" x14ac:dyDescent="0.35">
      <c r="C13" s="41" t="s">
        <v>14</v>
      </c>
      <c r="D13" s="41"/>
      <c r="E13" s="43"/>
      <c r="F13" s="43" t="s">
        <v>13</v>
      </c>
      <c r="G13" s="43" t="s">
        <v>12</v>
      </c>
      <c r="H13" s="43" t="s">
        <v>11</v>
      </c>
      <c r="I13" s="43" t="s">
        <v>10</v>
      </c>
      <c r="J13" s="43" t="s">
        <v>9</v>
      </c>
      <c r="K13" s="43" t="s">
        <v>3</v>
      </c>
      <c r="L13" s="41"/>
      <c r="M13" s="43" t="s">
        <v>8</v>
      </c>
      <c r="N13" s="40"/>
      <c r="O13" s="40"/>
      <c r="P13" s="40"/>
    </row>
    <row r="14" spans="1:16" ht="18" x14ac:dyDescent="0.35">
      <c r="C14" s="41"/>
      <c r="D14" s="41"/>
      <c r="E14" s="43" t="s">
        <v>7</v>
      </c>
      <c r="F14" s="46">
        <v>6</v>
      </c>
      <c r="G14" s="46">
        <v>0</v>
      </c>
      <c r="H14" s="46">
        <v>9</v>
      </c>
      <c r="I14" s="46">
        <v>0</v>
      </c>
      <c r="J14" s="46">
        <v>0</v>
      </c>
      <c r="K14" s="47">
        <f>SUM(F14:J14)</f>
        <v>15</v>
      </c>
      <c r="L14" s="43" t="s">
        <v>1</v>
      </c>
      <c r="M14" s="48">
        <v>15</v>
      </c>
      <c r="N14" s="40"/>
      <c r="O14" s="40"/>
      <c r="P14" s="40"/>
    </row>
    <row r="15" spans="1:16" ht="18" x14ac:dyDescent="0.35">
      <c r="C15" s="41"/>
      <c r="D15" s="41" t="s">
        <v>6</v>
      </c>
      <c r="E15" s="43" t="s">
        <v>7</v>
      </c>
      <c r="F15" s="46">
        <v>5</v>
      </c>
      <c r="G15" s="46">
        <v>0</v>
      </c>
      <c r="H15" s="46">
        <v>0</v>
      </c>
      <c r="I15" s="46">
        <v>10</v>
      </c>
      <c r="J15" s="46">
        <v>5</v>
      </c>
      <c r="K15" s="69">
        <f t="shared" ref="K15:K16" si="0">SUM(F15:J15)</f>
        <v>20</v>
      </c>
      <c r="L15" s="43" t="s">
        <v>1</v>
      </c>
      <c r="M15" s="48">
        <v>20</v>
      </c>
      <c r="N15" s="40"/>
      <c r="O15" s="40"/>
      <c r="P15" s="40"/>
    </row>
    <row r="16" spans="1:16" ht="18" x14ac:dyDescent="0.35">
      <c r="C16" s="41"/>
      <c r="D16" s="41"/>
      <c r="E16" s="43" t="s">
        <v>4</v>
      </c>
      <c r="F16" s="46">
        <v>0</v>
      </c>
      <c r="G16" s="46">
        <v>12</v>
      </c>
      <c r="H16" s="46">
        <v>0</v>
      </c>
      <c r="I16" s="46">
        <v>0</v>
      </c>
      <c r="J16" s="46">
        <v>3</v>
      </c>
      <c r="K16" s="69">
        <f t="shared" si="0"/>
        <v>15</v>
      </c>
      <c r="L16" s="43" t="s">
        <v>1</v>
      </c>
      <c r="M16" s="48">
        <v>15</v>
      </c>
      <c r="N16" s="40"/>
      <c r="O16" s="40"/>
      <c r="P16" s="40"/>
    </row>
    <row r="17" spans="3:16" ht="18" x14ac:dyDescent="0.35">
      <c r="C17" s="41"/>
      <c r="D17" s="41"/>
      <c r="E17" s="43" t="s">
        <v>3</v>
      </c>
      <c r="F17" s="47">
        <f>SUM(F14:F16)</f>
        <v>11</v>
      </c>
      <c r="G17" s="69">
        <f t="shared" ref="G17:J17" si="1">SUM(G14:G16)</f>
        <v>12</v>
      </c>
      <c r="H17" s="69">
        <f t="shared" si="1"/>
        <v>9</v>
      </c>
      <c r="I17" s="69">
        <f t="shared" si="1"/>
        <v>10</v>
      </c>
      <c r="J17" s="69">
        <f t="shared" si="1"/>
        <v>8</v>
      </c>
      <c r="K17" s="43"/>
      <c r="L17" s="43"/>
      <c r="M17" s="43"/>
      <c r="N17" s="40"/>
      <c r="O17" s="40"/>
      <c r="P17" s="40"/>
    </row>
    <row r="18" spans="3:16" ht="21" x14ac:dyDescent="0.4">
      <c r="C18" s="41"/>
      <c r="D18" s="41"/>
      <c r="E18" s="41"/>
      <c r="F18" s="43" t="s">
        <v>1</v>
      </c>
      <c r="G18" s="43" t="s">
        <v>1</v>
      </c>
      <c r="H18" s="43" t="s">
        <v>1</v>
      </c>
      <c r="I18" s="43" t="s">
        <v>1</v>
      </c>
      <c r="J18" s="43" t="s">
        <v>1</v>
      </c>
      <c r="K18" s="43" t="s">
        <v>2</v>
      </c>
      <c r="L18" s="43" t="s">
        <v>1</v>
      </c>
      <c r="M18" s="58">
        <f>SUMPRODUCT(F7:J9,F14:J16)</f>
        <v>2770.8</v>
      </c>
      <c r="N18" s="40"/>
      <c r="O18" s="40"/>
      <c r="P18" s="40"/>
    </row>
    <row r="19" spans="3:16" ht="18" x14ac:dyDescent="0.35">
      <c r="C19" s="41"/>
      <c r="D19" s="41"/>
      <c r="E19" s="43" t="s">
        <v>0</v>
      </c>
      <c r="F19" s="48">
        <v>11</v>
      </c>
      <c r="G19" s="48">
        <v>12</v>
      </c>
      <c r="H19" s="48">
        <v>9</v>
      </c>
      <c r="I19" s="48">
        <v>10</v>
      </c>
      <c r="J19" s="48">
        <v>8</v>
      </c>
      <c r="K19" s="43"/>
      <c r="L19" s="43"/>
      <c r="M19" s="43"/>
      <c r="N19" s="40"/>
      <c r="O19" s="40"/>
      <c r="P19" s="40"/>
    </row>
  </sheetData>
  <mergeCells count="3">
    <mergeCell ref="H3:K3"/>
    <mergeCell ref="H2:K2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zoomScale="79" workbookViewId="0">
      <selection activeCell="A5" sqref="A5:A7"/>
    </sheetView>
  </sheetViews>
  <sheetFormatPr defaultRowHeight="14.4" x14ac:dyDescent="0.3"/>
  <cols>
    <col min="1" max="1" width="39.5546875" style="59" customWidth="1"/>
    <col min="2" max="2" width="8.88671875" style="59"/>
    <col min="5" max="5" width="10.6640625" customWidth="1"/>
    <col min="11" max="11" width="12.44140625" customWidth="1"/>
  </cols>
  <sheetData>
    <row r="1" spans="1:15" s="59" customFormat="1" ht="15.6" x14ac:dyDescent="0.3">
      <c r="F1" s="79" t="s">
        <v>27</v>
      </c>
      <c r="G1" s="79"/>
      <c r="H1" s="79"/>
      <c r="I1" s="79"/>
    </row>
    <row r="2" spans="1:15" s="59" customFormat="1" ht="15.6" x14ac:dyDescent="0.3">
      <c r="F2" s="79" t="s">
        <v>26</v>
      </c>
      <c r="G2" s="79"/>
      <c r="H2" s="79"/>
      <c r="I2" s="79"/>
    </row>
    <row r="3" spans="1:15" s="59" customFormat="1" x14ac:dyDescent="0.3">
      <c r="F3" s="80" t="s">
        <v>38</v>
      </c>
      <c r="G3" s="80"/>
      <c r="H3" s="80"/>
      <c r="I3" s="80"/>
    </row>
    <row r="4" spans="1:15" s="59" customFormat="1" x14ac:dyDescent="0.3"/>
    <row r="5" spans="1:15" ht="21" x14ac:dyDescent="0.4">
      <c r="A5" s="29" t="s">
        <v>39</v>
      </c>
      <c r="C5" s="61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5" ht="21" x14ac:dyDescent="0.4">
      <c r="A6" s="29" t="s">
        <v>40</v>
      </c>
      <c r="C6" s="61"/>
      <c r="D6" s="59"/>
      <c r="E6" s="64"/>
      <c r="F6" s="63"/>
      <c r="G6" s="66" t="s">
        <v>30</v>
      </c>
      <c r="H6" s="63"/>
      <c r="I6" s="63"/>
      <c r="J6" s="59"/>
      <c r="K6" s="59"/>
      <c r="L6" s="59"/>
      <c r="M6" s="59"/>
      <c r="N6" s="59"/>
      <c r="O6" s="59"/>
    </row>
    <row r="7" spans="1:15" ht="21.6" thickBot="1" x14ac:dyDescent="0.45">
      <c r="A7" s="29" t="s">
        <v>41</v>
      </c>
      <c r="C7" s="67" t="s">
        <v>33</v>
      </c>
      <c r="D7" s="67"/>
      <c r="E7" s="62"/>
      <c r="F7" s="62" t="s">
        <v>13</v>
      </c>
      <c r="G7" s="62" t="s">
        <v>12</v>
      </c>
      <c r="H7" s="62" t="s">
        <v>11</v>
      </c>
      <c r="I7" s="62" t="s">
        <v>10</v>
      </c>
      <c r="J7" s="62" t="s">
        <v>9</v>
      </c>
      <c r="K7" s="62" t="s">
        <v>8</v>
      </c>
      <c r="L7" s="59"/>
      <c r="M7" s="59"/>
      <c r="N7" s="59"/>
      <c r="O7" s="59"/>
    </row>
    <row r="8" spans="1:15" ht="18.600000000000001" thickBot="1" x14ac:dyDescent="0.4">
      <c r="C8" s="67" t="s">
        <v>34</v>
      </c>
      <c r="D8" s="67"/>
      <c r="E8" s="62" t="s">
        <v>7</v>
      </c>
      <c r="F8" s="71">
        <v>58.5</v>
      </c>
      <c r="G8" s="71">
        <v>68.3</v>
      </c>
      <c r="H8" s="71">
        <v>45</v>
      </c>
      <c r="I8" s="71">
        <v>55</v>
      </c>
      <c r="J8" s="71">
        <v>63.5</v>
      </c>
      <c r="K8" s="70">
        <v>15</v>
      </c>
      <c r="L8" s="59"/>
      <c r="M8" s="59" t="s">
        <v>31</v>
      </c>
      <c r="N8" s="59"/>
      <c r="O8" s="59"/>
    </row>
    <row r="9" spans="1:15" ht="18.600000000000001" thickBot="1" x14ac:dyDescent="0.4">
      <c r="C9" s="61"/>
      <c r="D9" s="67" t="s">
        <v>6</v>
      </c>
      <c r="E9" s="62" t="s">
        <v>5</v>
      </c>
      <c r="F9" s="71">
        <v>65.3</v>
      </c>
      <c r="G9" s="71">
        <v>74.8</v>
      </c>
      <c r="H9" s="71">
        <v>55</v>
      </c>
      <c r="I9" s="71">
        <v>49</v>
      </c>
      <c r="J9" s="71">
        <v>56</v>
      </c>
      <c r="K9" s="70">
        <v>20</v>
      </c>
      <c r="L9" s="59"/>
      <c r="M9" s="59" t="s">
        <v>8</v>
      </c>
      <c r="N9" s="59">
        <f>SUM(K8:K10)</f>
        <v>50</v>
      </c>
      <c r="O9" s="59"/>
    </row>
    <row r="10" spans="1:15" ht="21" x14ac:dyDescent="0.4">
      <c r="A10" s="29" t="s">
        <v>20</v>
      </c>
      <c r="C10" s="61"/>
      <c r="D10" s="59"/>
      <c r="E10" s="62" t="s">
        <v>4</v>
      </c>
      <c r="F10" s="71">
        <v>59</v>
      </c>
      <c r="G10" s="71">
        <v>61.3</v>
      </c>
      <c r="H10" s="71">
        <v>63</v>
      </c>
      <c r="I10" s="71">
        <v>58.8</v>
      </c>
      <c r="J10" s="71">
        <v>47</v>
      </c>
      <c r="K10" s="70">
        <v>15</v>
      </c>
      <c r="L10" s="59"/>
      <c r="M10" s="59" t="s">
        <v>0</v>
      </c>
      <c r="N10" s="59">
        <f>SUM(F11:J11)</f>
        <v>50</v>
      </c>
      <c r="O10" s="59"/>
    </row>
    <row r="11" spans="1:15" s="59" customFormat="1" ht="18" x14ac:dyDescent="0.35">
      <c r="C11" s="61"/>
      <c r="E11" s="62" t="s">
        <v>0</v>
      </c>
      <c r="F11" s="70">
        <v>11</v>
      </c>
      <c r="G11" s="70">
        <v>12</v>
      </c>
      <c r="H11" s="70">
        <v>9</v>
      </c>
      <c r="I11" s="70">
        <v>10</v>
      </c>
      <c r="J11" s="70">
        <v>8</v>
      </c>
    </row>
    <row r="12" spans="1:15" s="59" customFormat="1" ht="18" x14ac:dyDescent="0.35">
      <c r="C12" s="61"/>
    </row>
    <row r="13" spans="1:15" ht="15.6" x14ac:dyDescent="0.3">
      <c r="C13" s="59"/>
      <c r="D13" s="59"/>
      <c r="E13" s="60"/>
      <c r="F13" s="60"/>
      <c r="G13" s="67" t="s">
        <v>30</v>
      </c>
      <c r="H13" s="60"/>
      <c r="I13" s="60"/>
      <c r="J13" s="60"/>
      <c r="K13" s="60"/>
      <c r="L13" s="59"/>
      <c r="M13" s="59"/>
      <c r="N13" s="59"/>
      <c r="O13" s="59"/>
    </row>
    <row r="14" spans="1:15" ht="18" x14ac:dyDescent="0.35">
      <c r="C14" s="67" t="s">
        <v>14</v>
      </c>
      <c r="D14" s="67"/>
      <c r="E14" s="65"/>
      <c r="F14" s="65" t="s">
        <v>13</v>
      </c>
      <c r="G14" s="65" t="s">
        <v>12</v>
      </c>
      <c r="H14" s="65" t="s">
        <v>11</v>
      </c>
      <c r="I14" s="65" t="s">
        <v>10</v>
      </c>
      <c r="J14" s="65" t="s">
        <v>9</v>
      </c>
      <c r="K14" s="62" t="s">
        <v>35</v>
      </c>
      <c r="L14" s="65"/>
      <c r="M14" s="62" t="s">
        <v>8</v>
      </c>
      <c r="N14" s="59"/>
    </row>
    <row r="15" spans="1:15" ht="18" x14ac:dyDescent="0.35">
      <c r="C15" s="59"/>
      <c r="D15" s="60"/>
      <c r="E15" s="65" t="s">
        <v>7</v>
      </c>
      <c r="F15" s="68">
        <v>6</v>
      </c>
      <c r="G15" s="68">
        <v>0</v>
      </c>
      <c r="H15" s="68">
        <v>9</v>
      </c>
      <c r="I15" s="68">
        <v>0</v>
      </c>
      <c r="J15" s="68">
        <v>0</v>
      </c>
      <c r="K15" s="69">
        <f>SUM(F15:J15)</f>
        <v>15</v>
      </c>
      <c r="L15" s="62" t="s">
        <v>1</v>
      </c>
      <c r="M15" s="70">
        <v>15</v>
      </c>
      <c r="N15" s="59"/>
    </row>
    <row r="16" spans="1:15" ht="18" x14ac:dyDescent="0.35">
      <c r="C16" s="59"/>
      <c r="D16" s="67" t="s">
        <v>6</v>
      </c>
      <c r="E16" s="65" t="s">
        <v>5</v>
      </c>
      <c r="F16" s="68">
        <v>5</v>
      </c>
      <c r="G16" s="68">
        <v>0</v>
      </c>
      <c r="H16" s="68">
        <v>0</v>
      </c>
      <c r="I16" s="68">
        <v>10</v>
      </c>
      <c r="J16" s="68">
        <v>5</v>
      </c>
      <c r="K16" s="69">
        <f t="shared" ref="K16:K17" si="0">SUM(F16:J16)</f>
        <v>20</v>
      </c>
      <c r="L16" s="62" t="s">
        <v>1</v>
      </c>
      <c r="M16" s="70">
        <v>20</v>
      </c>
      <c r="N16" s="59"/>
    </row>
    <row r="17" spans="3:14" ht="18" x14ac:dyDescent="0.35">
      <c r="C17" s="59"/>
      <c r="D17" s="60"/>
      <c r="E17" s="65" t="s">
        <v>4</v>
      </c>
      <c r="F17" s="68">
        <v>0</v>
      </c>
      <c r="G17" s="68">
        <v>12</v>
      </c>
      <c r="H17" s="68">
        <v>0</v>
      </c>
      <c r="I17" s="68">
        <v>0</v>
      </c>
      <c r="J17" s="68">
        <v>3</v>
      </c>
      <c r="K17" s="69">
        <f t="shared" si="0"/>
        <v>15</v>
      </c>
      <c r="L17" s="62" t="s">
        <v>1</v>
      </c>
      <c r="M17" s="70">
        <v>15</v>
      </c>
      <c r="N17" s="59"/>
    </row>
    <row r="18" spans="3:14" ht="18" x14ac:dyDescent="0.35">
      <c r="C18" s="59"/>
      <c r="D18" s="60"/>
      <c r="E18" s="62" t="s">
        <v>35</v>
      </c>
      <c r="F18" s="69">
        <f>SUM(F15:F17)</f>
        <v>11</v>
      </c>
      <c r="G18" s="69">
        <f t="shared" ref="G18:J18" si="1">SUM(G15:G17)</f>
        <v>12</v>
      </c>
      <c r="H18" s="69">
        <f t="shared" si="1"/>
        <v>9</v>
      </c>
      <c r="I18" s="69">
        <f t="shared" si="1"/>
        <v>10</v>
      </c>
      <c r="J18" s="69">
        <f t="shared" si="1"/>
        <v>8</v>
      </c>
      <c r="K18" s="65"/>
      <c r="L18" s="65"/>
      <c r="M18" s="65"/>
      <c r="N18" s="59"/>
    </row>
    <row r="19" spans="3:14" ht="21.6" thickBot="1" x14ac:dyDescent="0.45">
      <c r="C19" s="59"/>
      <c r="D19" s="60"/>
      <c r="E19" s="65"/>
      <c r="F19" s="62" t="s">
        <v>1</v>
      </c>
      <c r="G19" s="62" t="s">
        <v>1</v>
      </c>
      <c r="H19" s="62" t="s">
        <v>1</v>
      </c>
      <c r="I19" s="62" t="s">
        <v>1</v>
      </c>
      <c r="J19" s="62" t="s">
        <v>1</v>
      </c>
      <c r="K19" s="72" t="s">
        <v>36</v>
      </c>
      <c r="L19" s="62" t="s">
        <v>1</v>
      </c>
      <c r="M19" s="73">
        <f>SUMPRODUCT(F8:J10,F15:J17)</f>
        <v>2729.1</v>
      </c>
      <c r="N19" s="59"/>
    </row>
    <row r="20" spans="3:14" ht="18.600000000000001" thickTop="1" x14ac:dyDescent="0.35">
      <c r="C20" s="59"/>
      <c r="D20" s="60"/>
      <c r="E20" s="62" t="s">
        <v>0</v>
      </c>
      <c r="F20" s="70">
        <v>11</v>
      </c>
      <c r="G20" s="70">
        <v>12</v>
      </c>
      <c r="H20" s="70">
        <v>9</v>
      </c>
      <c r="I20" s="70">
        <v>10</v>
      </c>
      <c r="J20" s="70">
        <v>8</v>
      </c>
      <c r="K20" s="65"/>
      <c r="L20" s="65"/>
      <c r="M20" s="65"/>
      <c r="N20" s="59"/>
    </row>
  </sheetData>
  <mergeCells count="3">
    <mergeCell ref="F1:I1"/>
    <mergeCell ref="F2:I2"/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Gupta</dc:creator>
  <cp:lastModifiedBy>Husain</cp:lastModifiedBy>
  <dcterms:created xsi:type="dcterms:W3CDTF">2024-05-05T15:13:03Z</dcterms:created>
  <dcterms:modified xsi:type="dcterms:W3CDTF">2024-11-21T15:45:13Z</dcterms:modified>
</cp:coreProperties>
</file>