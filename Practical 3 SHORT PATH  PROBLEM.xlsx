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sain\Documents\SEM V\SEC NETWORK FLOW\"/>
    </mc:Choice>
  </mc:AlternateContent>
  <bookViews>
    <workbookView xWindow="0" yWindow="0" windowWidth="23040" windowHeight="9384" activeTab="3"/>
  </bookViews>
  <sheets>
    <sheet name="P" sheetId="1" r:id="rId1"/>
    <sheet name="1 (a)" sheetId="2" r:id="rId2"/>
    <sheet name="1(b)" sheetId="3" r:id="rId3"/>
    <sheet name="2" sheetId="4" r:id="rId4"/>
  </sheets>
  <definedNames>
    <definedName name="solver_adj" localSheetId="1" hidden="1">'1 (a)'!$E$5:$E$18</definedName>
    <definedName name="solver_adj" localSheetId="2" hidden="1">'1(b)'!$E$7:$E$30</definedName>
    <definedName name="solver_adj" localSheetId="3" hidden="1">'2'!$D$5:$D$17</definedName>
    <definedName name="solver_adj" localSheetId="0" hidden="1">P!$E$5:$E$18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0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0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0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0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0" hidden="1">2147483647</definedName>
    <definedName name="solver_lhs1" localSheetId="1" hidden="1">'1 (a)'!$I$5:$I$11</definedName>
    <definedName name="solver_lhs1" localSheetId="2" hidden="1">'1(b)'!$I$7:$I$17</definedName>
    <definedName name="solver_lhs1" localSheetId="3" hidden="1">'2'!$H$5:$H$12</definedName>
    <definedName name="solver_lhs1" localSheetId="0" hidden="1">P!$I$5:$I$11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0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0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0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0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0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0" hidden="1">2147483647</definedName>
    <definedName name="solver_num" localSheetId="1" hidden="1">1</definedName>
    <definedName name="solver_num" localSheetId="2" hidden="1">1</definedName>
    <definedName name="solver_num" localSheetId="3" hidden="1">1</definedName>
    <definedName name="solver_num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0" hidden="1">1</definedName>
    <definedName name="solver_opt" localSheetId="1" hidden="1">'1 (a)'!$E$20</definedName>
    <definedName name="solver_opt" localSheetId="2" hidden="1">'1(b)'!$E$33</definedName>
    <definedName name="solver_opt" localSheetId="3" hidden="1">'2'!$D$20</definedName>
    <definedName name="solver_opt" localSheetId="0" hidden="1">P!$E$20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0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0" hidden="1">1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0" hidden="1">2</definedName>
    <definedName name="solver_rhs1" localSheetId="1" hidden="1">'1 (a)'!$K$5:$K$11</definedName>
    <definedName name="solver_rhs1" localSheetId="2" hidden="1">'1(b)'!$K$7:$K$17</definedName>
    <definedName name="solver_rhs1" localSheetId="3" hidden="1">'2'!$J$5:$J$12</definedName>
    <definedName name="solver_rhs1" localSheetId="0" hidden="1">P!$K$5:$K$11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0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0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0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0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0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0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0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0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12" i="4"/>
  <c r="D20" i="4"/>
  <c r="I8" i="3"/>
  <c r="I9" i="3"/>
  <c r="I10" i="3"/>
  <c r="I11" i="3"/>
  <c r="I12" i="3"/>
  <c r="I13" i="3"/>
  <c r="I14" i="3"/>
  <c r="I15" i="3"/>
  <c r="I16" i="3"/>
  <c r="I17" i="3"/>
  <c r="I7" i="3"/>
  <c r="E33" i="3"/>
  <c r="I6" i="2"/>
  <c r="I7" i="2"/>
  <c r="I8" i="2"/>
  <c r="I9" i="2"/>
  <c r="I10" i="2"/>
  <c r="I11" i="2"/>
  <c r="I5" i="2"/>
  <c r="E20" i="2"/>
  <c r="E20" i="1"/>
  <c r="I6" i="1"/>
  <c r="I5" i="1" l="1"/>
  <c r="I7" i="1"/>
  <c r="I8" i="1"/>
  <c r="I9" i="1" l="1"/>
  <c r="I10" i="1"/>
  <c r="I11" i="1"/>
</calcChain>
</file>

<file path=xl/sharedStrings.xml><?xml version="1.0" encoding="utf-8"?>
<sst xmlns="http://schemas.openxmlformats.org/spreadsheetml/2006/main" count="254" uniqueCount="34">
  <si>
    <t>Shortest Path Problem</t>
  </si>
  <si>
    <t>From</t>
  </si>
  <si>
    <t>To</t>
  </si>
  <si>
    <t>On Route</t>
  </si>
  <si>
    <t>Distance</t>
  </si>
  <si>
    <t>Nodes</t>
  </si>
  <si>
    <t>NetFlow</t>
  </si>
  <si>
    <t>Supply/Demand</t>
  </si>
  <si>
    <t>O</t>
  </si>
  <si>
    <t>A</t>
  </si>
  <si>
    <t>=</t>
  </si>
  <si>
    <t>B</t>
  </si>
  <si>
    <t>C</t>
  </si>
  <si>
    <t>D</t>
  </si>
  <si>
    <t>E</t>
  </si>
  <si>
    <t>T</t>
  </si>
  <si>
    <t xml:space="preserve"> </t>
  </si>
  <si>
    <t xml:space="preserve">                 </t>
  </si>
  <si>
    <t xml:space="preserve">TOTAL DISTANCE </t>
  </si>
  <si>
    <t>QUESTION - 1 (a)</t>
  </si>
  <si>
    <t>QUESTION - 1 (b)</t>
  </si>
  <si>
    <t>Practical No.-3</t>
  </si>
  <si>
    <t>QUESTION - 2</t>
  </si>
  <si>
    <t>F</t>
  </si>
  <si>
    <t>G</t>
  </si>
  <si>
    <t>H</t>
  </si>
  <si>
    <t>I</t>
  </si>
  <si>
    <t>total distance</t>
  </si>
  <si>
    <t>SE</t>
  </si>
  <si>
    <t>LN</t>
  </si>
  <si>
    <t>Name - Husain Hashemi</t>
  </si>
  <si>
    <t>Roll no. - 20222727</t>
  </si>
  <si>
    <t xml:space="preserve">Course - Bvoc.Software Development </t>
  </si>
  <si>
    <t>QUES- 1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</si>
</sst>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5" borderId="1" applyNumberFormat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5" fillId="5" borderId="1" xfId="2" applyAlignment="1">
      <alignment horizontal="center"/>
    </xf>
    <xf numFmtId="0" fontId="0" fillId="6" borderId="0" xfId="0" applyFill="1" applyAlignment="1">
      <alignment horizontal="center"/>
    </xf>
    <xf numFmtId="0" fontId="5" fillId="6" borderId="1" xfId="2" applyFill="1"/>
    <xf numFmtId="0" fontId="0" fillId="6" borderId="0" xfId="0" applyFill="1"/>
    <xf numFmtId="0" fontId="4" fillId="6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Accent4" xfId="1" builtinId="41"/>
    <cellStyle name="Calculation" xfId="2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36524</xdr:colOff>
      <xdr:row>11</xdr:row>
      <xdr:rowOff>85923</xdr:rowOff>
    </xdr:from>
    <xdr:ext cx="3398520" cy="1927860"/>
    <xdr:pic>
      <xdr:nvPicPr>
        <xdr:cNvPr id="2" name="image1.jpg">
          <a:extLst>
            <a:ext uri="{FF2B5EF4-FFF2-40B4-BE49-F238E27FC236}">
              <a16:creationId xmlns:a16="http://schemas.microsoft.com/office/drawing/2014/main" xmlns="" id="{B0C5739E-E519-4A14-BC20-4732282721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67541" y="2582130"/>
          <a:ext cx="3398520" cy="192786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410340</xdr:colOff>
      <xdr:row>12</xdr:row>
      <xdr:rowOff>108240</xdr:rowOff>
    </xdr:from>
    <xdr:to>
      <xdr:col>11</xdr:col>
      <xdr:colOff>406977</xdr:colOff>
      <xdr:row>22</xdr:row>
      <xdr:rowOff>116897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8FFD35B-00D8-C30F-E2FA-6C92F6785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988" r="1416" b="39535"/>
        <a:stretch/>
      </xdr:blipFill>
      <xdr:spPr>
        <a:xfrm>
          <a:off x="6720653" y="2900797"/>
          <a:ext cx="3027318" cy="1956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44632</xdr:colOff>
      <xdr:row>21</xdr:row>
      <xdr:rowOff>67491</xdr:rowOff>
    </xdr:from>
    <xdr:to>
      <xdr:col>14</xdr:col>
      <xdr:colOff>532924</xdr:colOff>
      <xdr:row>38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8C81A7A-AED3-53B7-66EE-A999A4462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279" r="306"/>
        <a:stretch/>
      </xdr:blipFill>
      <xdr:spPr>
        <a:xfrm>
          <a:off x="6644096" y="4612277"/>
          <a:ext cx="4951435" cy="3252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474345</xdr:colOff>
      <xdr:row>1</xdr:row>
      <xdr:rowOff>295275</xdr:rowOff>
    </xdr:from>
    <xdr:to>
      <xdr:col>19</xdr:col>
      <xdr:colOff>464820</xdr:colOff>
      <xdr:row>22</xdr:row>
      <xdr:rowOff>110490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825" y="592455"/>
          <a:ext cx="4867275" cy="405955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116" workbookViewId="0">
      <selection activeCell="A5" sqref="A5:A7"/>
    </sheetView>
  </sheetViews>
  <sheetFormatPr defaultRowHeight="14.4" x14ac:dyDescent="0.3"/>
  <cols>
    <col min="1" max="1" width="35.5546875" customWidth="1"/>
    <col min="2" max="2" width="10.6640625" customWidth="1"/>
    <col min="3" max="3" width="10.33203125" customWidth="1"/>
    <col min="5" max="5" width="13" customWidth="1"/>
    <col min="6" max="6" width="15.33203125" customWidth="1"/>
    <col min="9" max="9" width="10.6640625" customWidth="1"/>
    <col min="10" max="10" width="10.5546875" customWidth="1"/>
    <col min="11" max="11" width="18.33203125" customWidth="1"/>
  </cols>
  <sheetData>
    <row r="1" spans="1:17" ht="21" x14ac:dyDescent="0.4">
      <c r="E1" s="19" t="s">
        <v>21</v>
      </c>
      <c r="F1" s="19"/>
      <c r="G1" s="9"/>
      <c r="H1" s="9"/>
    </row>
    <row r="2" spans="1:17" ht="23.4" x14ac:dyDescent="0.45">
      <c r="E2" s="20" t="s">
        <v>0</v>
      </c>
      <c r="F2" s="20"/>
      <c r="G2" s="20"/>
      <c r="H2" s="8"/>
      <c r="I2" s="1"/>
    </row>
    <row r="4" spans="1:17" ht="18" x14ac:dyDescent="0.35">
      <c r="A4" s="7"/>
      <c r="B4" s="2"/>
      <c r="C4" s="10" t="s">
        <v>1</v>
      </c>
      <c r="D4" s="10" t="s">
        <v>2</v>
      </c>
      <c r="E4" s="10" t="s">
        <v>3</v>
      </c>
      <c r="F4" s="10" t="s">
        <v>4</v>
      </c>
      <c r="G4" s="10"/>
      <c r="H4" s="10" t="s">
        <v>5</v>
      </c>
      <c r="I4" s="10" t="s">
        <v>6</v>
      </c>
      <c r="J4" s="10"/>
      <c r="K4" s="10" t="s">
        <v>7</v>
      </c>
      <c r="M4" s="2"/>
      <c r="N4" s="3"/>
      <c r="O4" s="3"/>
      <c r="Q4" s="3"/>
    </row>
    <row r="5" spans="1:17" ht="18" x14ac:dyDescent="0.35">
      <c r="A5" s="7" t="s">
        <v>30</v>
      </c>
      <c r="B5" s="2"/>
      <c r="C5" s="2" t="s">
        <v>8</v>
      </c>
      <c r="D5" s="2" t="s">
        <v>9</v>
      </c>
      <c r="E5" s="4">
        <v>1</v>
      </c>
      <c r="F5" s="2">
        <v>2</v>
      </c>
      <c r="G5" s="2"/>
      <c r="H5" s="2" t="s">
        <v>8</v>
      </c>
      <c r="I5" s="4">
        <f>SUMIF($C$5:$C$18,H5,$E$5:$E$18)-SUMIF($D$5:$D$18,H5,$E$5:$E$18)</f>
        <v>1</v>
      </c>
      <c r="J5" s="2" t="s">
        <v>10</v>
      </c>
      <c r="K5" s="2">
        <v>1</v>
      </c>
      <c r="M5" s="2"/>
      <c r="N5" s="2"/>
      <c r="O5" s="2"/>
      <c r="Q5" s="2"/>
    </row>
    <row r="6" spans="1:17" ht="18" x14ac:dyDescent="0.35">
      <c r="A6" s="7" t="s">
        <v>31</v>
      </c>
      <c r="B6" s="2"/>
      <c r="C6" s="2" t="s">
        <v>8</v>
      </c>
      <c r="D6" s="2" t="s">
        <v>11</v>
      </c>
      <c r="E6" s="4">
        <v>0</v>
      </c>
      <c r="F6" s="2">
        <v>5</v>
      </c>
      <c r="G6" s="2"/>
      <c r="H6" s="2" t="s">
        <v>9</v>
      </c>
      <c r="I6" s="4">
        <f>SUMIF($C$5:$C$18,H6,$E$5:$E$18)-SUMIF($D$5:$D$18,H6,$E$5:$E$18)</f>
        <v>0</v>
      </c>
      <c r="J6" s="2" t="s">
        <v>10</v>
      </c>
      <c r="K6" s="2">
        <v>0</v>
      </c>
      <c r="M6" s="2"/>
      <c r="N6" s="2"/>
      <c r="O6" s="2"/>
      <c r="Q6" s="2"/>
    </row>
    <row r="7" spans="1:17" ht="18" x14ac:dyDescent="0.35">
      <c r="A7" s="7" t="s">
        <v>32</v>
      </c>
      <c r="B7" s="2"/>
      <c r="C7" s="2" t="s">
        <v>8</v>
      </c>
      <c r="D7" s="2" t="s">
        <v>12</v>
      </c>
      <c r="E7" s="4">
        <v>0</v>
      </c>
      <c r="F7" s="2">
        <v>4</v>
      </c>
      <c r="G7" s="2"/>
      <c r="H7" s="2" t="s">
        <v>11</v>
      </c>
      <c r="I7" s="4">
        <f>SUMIF($C$5:$C$18,H7,$E$5:$E$18)-SUMIF($D$5:$D$18,H7,$E$5:$E$18)</f>
        <v>0</v>
      </c>
      <c r="J7" s="2" t="s">
        <v>10</v>
      </c>
      <c r="K7" s="2">
        <v>0</v>
      </c>
      <c r="M7" s="2"/>
      <c r="N7" s="2"/>
      <c r="O7" s="2"/>
      <c r="Q7" s="2"/>
    </row>
    <row r="8" spans="1:17" ht="18" x14ac:dyDescent="0.35">
      <c r="A8" s="7"/>
      <c r="B8" s="2"/>
      <c r="C8" s="2" t="s">
        <v>9</v>
      </c>
      <c r="D8" s="2" t="s">
        <v>11</v>
      </c>
      <c r="E8" s="4">
        <v>1</v>
      </c>
      <c r="F8" s="2">
        <v>2</v>
      </c>
      <c r="G8" s="2"/>
      <c r="H8" s="2" t="s">
        <v>12</v>
      </c>
      <c r="I8" s="4">
        <f>SUMIF($C$5:$C$18,H8,$E$5:$E$18)-SUMIF($D$5:$D$18,H8,$E$5:$E$18)</f>
        <v>0</v>
      </c>
      <c r="J8" s="2" t="s">
        <v>10</v>
      </c>
      <c r="K8" s="2">
        <v>0</v>
      </c>
      <c r="M8" s="2"/>
      <c r="N8" s="2"/>
      <c r="O8" s="2"/>
      <c r="Q8" s="2"/>
    </row>
    <row r="9" spans="1:17" ht="18" x14ac:dyDescent="0.35">
      <c r="A9" s="7" t="s">
        <v>33</v>
      </c>
      <c r="B9" s="2"/>
      <c r="C9" s="2" t="s">
        <v>9</v>
      </c>
      <c r="D9" s="2" t="s">
        <v>13</v>
      </c>
      <c r="E9" s="4">
        <v>0</v>
      </c>
      <c r="F9" s="2">
        <v>7</v>
      </c>
      <c r="G9" s="2"/>
      <c r="H9" s="2" t="s">
        <v>13</v>
      </c>
      <c r="I9" s="4">
        <f t="shared" ref="I9:I11" si="0">SUMIF($C$5:$C$18,H9,$E$5:$E$18)-SUMIF($D$5:$D$18,H9,$E$5:$E$18)</f>
        <v>0</v>
      </c>
      <c r="J9" s="2" t="s">
        <v>10</v>
      </c>
      <c r="K9" s="2">
        <v>0</v>
      </c>
      <c r="M9" s="2"/>
      <c r="N9" s="2"/>
      <c r="O9" s="2"/>
      <c r="Q9" s="2"/>
    </row>
    <row r="10" spans="1:17" x14ac:dyDescent="0.3">
      <c r="B10" s="2"/>
      <c r="C10" s="2" t="s">
        <v>11</v>
      </c>
      <c r="D10" s="2" t="s">
        <v>12</v>
      </c>
      <c r="E10" s="4">
        <v>0</v>
      </c>
      <c r="F10" s="2">
        <v>1</v>
      </c>
      <c r="G10" s="2"/>
      <c r="H10" s="2" t="s">
        <v>14</v>
      </c>
      <c r="I10" s="4">
        <f t="shared" si="0"/>
        <v>0</v>
      </c>
      <c r="J10" s="2" t="s">
        <v>10</v>
      </c>
      <c r="K10" s="2">
        <v>0</v>
      </c>
      <c r="M10" s="2"/>
      <c r="N10" s="2"/>
      <c r="O10" s="2"/>
      <c r="Q10" s="2"/>
    </row>
    <row r="11" spans="1:17" x14ac:dyDescent="0.3">
      <c r="B11" s="2"/>
      <c r="C11" s="2" t="s">
        <v>11</v>
      </c>
      <c r="D11" s="2" t="s">
        <v>13</v>
      </c>
      <c r="E11" s="4">
        <v>1</v>
      </c>
      <c r="F11" s="2">
        <v>4</v>
      </c>
      <c r="G11" s="2"/>
      <c r="H11" s="2" t="s">
        <v>15</v>
      </c>
      <c r="I11" s="4">
        <f t="shared" si="0"/>
        <v>-1</v>
      </c>
      <c r="J11" s="2" t="s">
        <v>10</v>
      </c>
      <c r="K11" s="2">
        <v>-1</v>
      </c>
      <c r="M11" s="2"/>
      <c r="N11" s="2"/>
      <c r="O11" s="2"/>
      <c r="Q11" s="2"/>
    </row>
    <row r="12" spans="1:17" x14ac:dyDescent="0.3">
      <c r="B12" s="2"/>
      <c r="C12" s="2" t="s">
        <v>11</v>
      </c>
      <c r="D12" s="2" t="s">
        <v>14</v>
      </c>
      <c r="E12" s="4">
        <v>0</v>
      </c>
      <c r="F12" s="2">
        <v>3</v>
      </c>
      <c r="G12" s="2"/>
      <c r="H12" s="2"/>
      <c r="I12" s="2"/>
      <c r="J12" s="2"/>
      <c r="K12" s="2"/>
      <c r="L12" s="2"/>
      <c r="M12" s="2"/>
      <c r="N12" s="2"/>
      <c r="O12" s="2"/>
      <c r="Q12" s="2"/>
    </row>
    <row r="13" spans="1:17" x14ac:dyDescent="0.3">
      <c r="B13" s="2"/>
      <c r="C13" s="2" t="s">
        <v>12</v>
      </c>
      <c r="D13" s="2" t="s">
        <v>11</v>
      </c>
      <c r="E13" s="4">
        <v>0</v>
      </c>
      <c r="F13" s="2">
        <v>1</v>
      </c>
      <c r="G13" s="2"/>
      <c r="H13" s="2"/>
      <c r="I13" s="2"/>
      <c r="J13" s="2"/>
      <c r="K13" s="2"/>
      <c r="L13" s="2"/>
      <c r="M13" s="2"/>
      <c r="N13" s="2"/>
      <c r="O13" s="2"/>
      <c r="Q13" s="2"/>
    </row>
    <row r="14" spans="1:17" x14ac:dyDescent="0.3">
      <c r="B14" s="2"/>
      <c r="C14" s="2" t="s">
        <v>12</v>
      </c>
      <c r="D14" s="2" t="s">
        <v>14</v>
      </c>
      <c r="E14" s="4">
        <v>0</v>
      </c>
      <c r="F14" s="2">
        <v>4</v>
      </c>
      <c r="G14" s="2"/>
      <c r="H14" s="2"/>
      <c r="I14" s="2"/>
      <c r="J14" s="2"/>
      <c r="K14" s="2"/>
      <c r="L14" s="2"/>
      <c r="M14" s="2"/>
      <c r="N14" s="2"/>
      <c r="O14" s="2"/>
      <c r="Q14" s="2"/>
    </row>
    <row r="15" spans="1:17" x14ac:dyDescent="0.3">
      <c r="B15" s="2"/>
      <c r="C15" s="2" t="s">
        <v>13</v>
      </c>
      <c r="D15" s="2" t="s">
        <v>14</v>
      </c>
      <c r="E15" s="4">
        <v>0</v>
      </c>
      <c r="F15" s="2">
        <v>1</v>
      </c>
      <c r="G15" s="2"/>
      <c r="H15" s="2"/>
      <c r="I15" s="2"/>
      <c r="J15" s="2"/>
      <c r="K15" s="2"/>
      <c r="L15" s="2"/>
      <c r="M15" s="2"/>
      <c r="N15" s="2"/>
      <c r="O15" s="2"/>
      <c r="Q15" s="2"/>
    </row>
    <row r="16" spans="1:17" x14ac:dyDescent="0.3">
      <c r="B16" s="2"/>
      <c r="C16" s="2" t="s">
        <v>13</v>
      </c>
      <c r="D16" s="2" t="s">
        <v>15</v>
      </c>
      <c r="E16" s="4">
        <v>1</v>
      </c>
      <c r="F16" s="2">
        <v>5</v>
      </c>
      <c r="G16" s="2"/>
      <c r="H16" s="2"/>
      <c r="I16" s="2"/>
      <c r="J16" s="2"/>
      <c r="K16" s="2"/>
      <c r="L16" s="2"/>
      <c r="M16" s="2"/>
      <c r="N16" s="2"/>
      <c r="O16" s="2"/>
      <c r="Q16" s="2"/>
    </row>
    <row r="17" spans="2:17" x14ac:dyDescent="0.3">
      <c r="B17" s="2"/>
      <c r="C17" s="2" t="s">
        <v>14</v>
      </c>
      <c r="D17" s="2" t="s">
        <v>13</v>
      </c>
      <c r="E17" s="4">
        <v>0</v>
      </c>
      <c r="F17" s="2">
        <v>1</v>
      </c>
      <c r="G17" s="2"/>
      <c r="H17" s="2"/>
      <c r="I17" s="2"/>
      <c r="J17" s="2"/>
      <c r="K17" s="2"/>
      <c r="L17" s="2"/>
      <c r="M17" s="2"/>
      <c r="N17" s="2"/>
      <c r="O17" s="2"/>
      <c r="Q17" s="2"/>
    </row>
    <row r="18" spans="2:17" x14ac:dyDescent="0.3">
      <c r="B18" s="2"/>
      <c r="C18" s="2" t="s">
        <v>14</v>
      </c>
      <c r="D18" s="2" t="s">
        <v>15</v>
      </c>
      <c r="E18" s="4">
        <v>0</v>
      </c>
      <c r="F18" s="2">
        <v>7</v>
      </c>
      <c r="G18" s="2"/>
      <c r="H18" s="2"/>
      <c r="I18" s="2"/>
      <c r="J18" s="2"/>
      <c r="K18" s="2"/>
      <c r="L18" s="2"/>
      <c r="M18" s="2"/>
      <c r="N18" s="2"/>
      <c r="O18" s="2"/>
      <c r="Q18" s="2"/>
    </row>
    <row r="19" spans="2:17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ht="15.6" x14ac:dyDescent="0.3">
      <c r="C20" s="18" t="s">
        <v>18</v>
      </c>
      <c r="D20" s="18"/>
      <c r="E20" s="5">
        <f>SUMPRODUCT(E5:E18,F5:F18)</f>
        <v>13</v>
      </c>
      <c r="F20" s="2"/>
      <c r="G20" s="2"/>
      <c r="H20" s="2"/>
      <c r="I20" s="2"/>
      <c r="J20" s="2"/>
      <c r="K20" s="2"/>
    </row>
    <row r="21" spans="2:17" x14ac:dyDescent="0.3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7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7" spans="2:17" x14ac:dyDescent="0.3">
      <c r="J27" t="s">
        <v>17</v>
      </c>
    </row>
  </sheetData>
  <mergeCells count="3">
    <mergeCell ref="C20:D20"/>
    <mergeCell ref="E1:F1"/>
    <mergeCell ref="E2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="88" zoomScaleNormal="98" workbookViewId="0">
      <selection activeCell="A5" sqref="A5:A7"/>
    </sheetView>
  </sheetViews>
  <sheetFormatPr defaultRowHeight="14.4" x14ac:dyDescent="0.3"/>
  <cols>
    <col min="1" max="1" width="35.33203125" customWidth="1"/>
    <col min="5" max="5" width="15.5546875" customWidth="1"/>
    <col min="6" max="6" width="16.5546875" customWidth="1"/>
  </cols>
  <sheetData>
    <row r="1" spans="1:13" ht="23.4" x14ac:dyDescent="0.45">
      <c r="E1" s="19" t="s">
        <v>21</v>
      </c>
      <c r="F1" s="19"/>
      <c r="G1" s="9"/>
      <c r="I1" s="1"/>
    </row>
    <row r="2" spans="1:13" ht="23.4" x14ac:dyDescent="0.45">
      <c r="E2" s="20" t="s">
        <v>0</v>
      </c>
      <c r="F2" s="20"/>
      <c r="G2" s="20"/>
      <c r="I2" s="1"/>
    </row>
    <row r="4" spans="1:13" ht="18" x14ac:dyDescent="0.35">
      <c r="A4" s="7"/>
      <c r="B4" s="2"/>
      <c r="C4" s="10" t="s">
        <v>1</v>
      </c>
      <c r="D4" s="10" t="s">
        <v>2</v>
      </c>
      <c r="E4" s="10" t="s">
        <v>3</v>
      </c>
      <c r="F4" s="10" t="s">
        <v>4</v>
      </c>
      <c r="G4" s="10"/>
      <c r="H4" s="10" t="s">
        <v>5</v>
      </c>
      <c r="I4" s="10" t="s">
        <v>6</v>
      </c>
      <c r="J4" s="10"/>
      <c r="K4" s="10" t="s">
        <v>7</v>
      </c>
      <c r="L4" s="12"/>
      <c r="M4" s="13"/>
    </row>
    <row r="5" spans="1:13" ht="18" x14ac:dyDescent="0.35">
      <c r="A5" s="7" t="s">
        <v>30</v>
      </c>
      <c r="B5" s="2"/>
      <c r="C5" s="2" t="s">
        <v>8</v>
      </c>
      <c r="D5" s="2" t="s">
        <v>9</v>
      </c>
      <c r="E5" s="4">
        <v>1</v>
      </c>
      <c r="F5" s="2">
        <v>4</v>
      </c>
      <c r="G5" s="2"/>
      <c r="H5" s="2" t="s">
        <v>8</v>
      </c>
      <c r="I5" s="4">
        <f>SUMIF($C$5:$C$18,H5,$E$5:$E$18)-SUMIF($D$5:$D$18,H5,$E$5:$E$18)</f>
        <v>1</v>
      </c>
      <c r="J5" s="2" t="s">
        <v>10</v>
      </c>
      <c r="K5" s="2">
        <v>1</v>
      </c>
      <c r="L5" s="13"/>
      <c r="M5" s="13"/>
    </row>
    <row r="6" spans="1:13" ht="18" x14ac:dyDescent="0.35">
      <c r="A6" s="7" t="s">
        <v>31</v>
      </c>
      <c r="B6" s="2"/>
      <c r="C6" s="2" t="s">
        <v>8</v>
      </c>
      <c r="D6" s="2" t="s">
        <v>11</v>
      </c>
      <c r="E6" s="4">
        <v>0</v>
      </c>
      <c r="F6" s="2">
        <v>6</v>
      </c>
      <c r="G6" s="2"/>
      <c r="H6" s="2" t="s">
        <v>9</v>
      </c>
      <c r="I6" s="4">
        <f t="shared" ref="I6:I11" si="0">SUMIF($C$5:$C$18,H6,$E$5:$E$18)-SUMIF($D$5:$D$18,H6,$E$5:$E$18)</f>
        <v>0</v>
      </c>
      <c r="J6" s="2" t="s">
        <v>10</v>
      </c>
      <c r="K6" s="2">
        <v>0</v>
      </c>
      <c r="L6" s="13"/>
      <c r="M6" s="13"/>
    </row>
    <row r="7" spans="1:13" ht="18" x14ac:dyDescent="0.35">
      <c r="A7" s="7" t="s">
        <v>32</v>
      </c>
      <c r="B7" s="2"/>
      <c r="C7" s="2" t="s">
        <v>8</v>
      </c>
      <c r="D7" s="2" t="s">
        <v>12</v>
      </c>
      <c r="E7" s="4">
        <v>0</v>
      </c>
      <c r="F7" s="2">
        <v>5</v>
      </c>
      <c r="G7" s="2"/>
      <c r="H7" s="2" t="s">
        <v>11</v>
      </c>
      <c r="I7" s="4">
        <f t="shared" si="0"/>
        <v>0</v>
      </c>
      <c r="J7" s="2" t="s">
        <v>10</v>
      </c>
      <c r="K7" s="2">
        <v>0</v>
      </c>
      <c r="L7" s="13"/>
      <c r="M7" s="13"/>
    </row>
    <row r="8" spans="1:13" ht="18" x14ac:dyDescent="0.35">
      <c r="A8" s="7"/>
      <c r="B8" s="2"/>
      <c r="C8" s="2" t="s">
        <v>9</v>
      </c>
      <c r="D8" s="2" t="s">
        <v>11</v>
      </c>
      <c r="E8" s="4">
        <v>1</v>
      </c>
      <c r="F8" s="2">
        <v>1</v>
      </c>
      <c r="G8" s="2"/>
      <c r="H8" s="2" t="s">
        <v>12</v>
      </c>
      <c r="I8" s="4">
        <f t="shared" si="0"/>
        <v>0</v>
      </c>
      <c r="J8" s="2" t="s">
        <v>10</v>
      </c>
      <c r="K8" s="2">
        <v>0</v>
      </c>
      <c r="L8" s="13"/>
      <c r="M8" s="13"/>
    </row>
    <row r="9" spans="1:13" ht="18" x14ac:dyDescent="0.35">
      <c r="A9" s="7" t="s">
        <v>19</v>
      </c>
      <c r="B9" s="2"/>
      <c r="C9" s="2" t="s">
        <v>9</v>
      </c>
      <c r="D9" s="2" t="s">
        <v>13</v>
      </c>
      <c r="E9" s="4">
        <v>0</v>
      </c>
      <c r="F9" s="2">
        <v>7</v>
      </c>
      <c r="G9" s="2"/>
      <c r="H9" s="2" t="s">
        <v>13</v>
      </c>
      <c r="I9" s="4">
        <f t="shared" si="0"/>
        <v>0</v>
      </c>
      <c r="J9" s="2" t="s">
        <v>10</v>
      </c>
      <c r="K9" s="2">
        <v>0</v>
      </c>
      <c r="L9" s="13"/>
      <c r="M9" s="13"/>
    </row>
    <row r="10" spans="1:13" x14ac:dyDescent="0.3">
      <c r="B10" s="2"/>
      <c r="C10" s="2" t="s">
        <v>11</v>
      </c>
      <c r="D10" s="2" t="s">
        <v>12</v>
      </c>
      <c r="E10" s="4">
        <v>0</v>
      </c>
      <c r="F10" s="2">
        <v>2</v>
      </c>
      <c r="G10" s="2"/>
      <c r="H10" s="2" t="s">
        <v>14</v>
      </c>
      <c r="I10" s="4">
        <f t="shared" si="0"/>
        <v>0</v>
      </c>
      <c r="J10" s="2" t="s">
        <v>10</v>
      </c>
      <c r="K10" s="2">
        <v>0</v>
      </c>
      <c r="L10" s="13"/>
      <c r="M10" s="13"/>
    </row>
    <row r="11" spans="1:13" x14ac:dyDescent="0.3">
      <c r="B11" s="2"/>
      <c r="C11" s="2" t="s">
        <v>11</v>
      </c>
      <c r="D11" s="2" t="s">
        <v>13</v>
      </c>
      <c r="E11" s="4">
        <v>1</v>
      </c>
      <c r="F11" s="2">
        <v>5</v>
      </c>
      <c r="G11" s="2"/>
      <c r="H11" s="2" t="s">
        <v>15</v>
      </c>
      <c r="I11" s="4">
        <f t="shared" si="0"/>
        <v>-1</v>
      </c>
      <c r="J11" s="2" t="s">
        <v>10</v>
      </c>
      <c r="K11" s="2">
        <v>-1</v>
      </c>
      <c r="L11" s="13"/>
      <c r="M11" s="13"/>
    </row>
    <row r="12" spans="1:13" x14ac:dyDescent="0.3">
      <c r="A12" s="2"/>
      <c r="B12" s="2"/>
      <c r="C12" s="2" t="s">
        <v>11</v>
      </c>
      <c r="D12" s="2" t="s">
        <v>14</v>
      </c>
      <c r="E12" s="4">
        <v>0</v>
      </c>
      <c r="F12" s="2">
        <v>4</v>
      </c>
      <c r="G12" s="2"/>
      <c r="H12" s="2"/>
      <c r="I12" s="2"/>
      <c r="J12" s="2"/>
      <c r="K12" s="2"/>
      <c r="L12" s="11"/>
      <c r="M12" s="13"/>
    </row>
    <row r="13" spans="1:13" x14ac:dyDescent="0.3">
      <c r="A13" s="2"/>
      <c r="B13" s="2"/>
      <c r="C13" s="2" t="s">
        <v>12</v>
      </c>
      <c r="D13" s="2" t="s">
        <v>11</v>
      </c>
      <c r="E13" s="4">
        <v>0</v>
      </c>
      <c r="F13" s="2">
        <v>2</v>
      </c>
      <c r="G13" s="2"/>
      <c r="H13" s="2"/>
      <c r="I13" s="2"/>
      <c r="J13" s="2"/>
      <c r="K13" s="2"/>
      <c r="L13" s="11"/>
      <c r="M13" s="13"/>
    </row>
    <row r="14" spans="1:13" x14ac:dyDescent="0.3">
      <c r="A14" s="2"/>
      <c r="B14" s="2"/>
      <c r="C14" s="2" t="s">
        <v>12</v>
      </c>
      <c r="D14" s="2" t="s">
        <v>14</v>
      </c>
      <c r="E14" s="4">
        <v>0</v>
      </c>
      <c r="F14" s="2">
        <v>5</v>
      </c>
      <c r="G14" s="2"/>
      <c r="H14" s="2"/>
      <c r="I14" s="2"/>
      <c r="J14" s="2"/>
      <c r="K14" s="2"/>
      <c r="L14" s="11"/>
      <c r="M14" s="13"/>
    </row>
    <row r="15" spans="1:13" x14ac:dyDescent="0.3">
      <c r="A15" s="2"/>
      <c r="B15" s="2"/>
      <c r="C15" s="2" t="s">
        <v>13</v>
      </c>
      <c r="D15" s="2" t="s">
        <v>14</v>
      </c>
      <c r="E15" s="4">
        <v>0</v>
      </c>
      <c r="F15" s="2">
        <v>1</v>
      </c>
      <c r="G15" s="2"/>
      <c r="H15" s="2"/>
      <c r="I15" s="2"/>
      <c r="J15" s="2"/>
      <c r="K15" s="2"/>
      <c r="L15" s="11"/>
      <c r="M15" s="13"/>
    </row>
    <row r="16" spans="1:13" x14ac:dyDescent="0.3">
      <c r="A16" s="2"/>
      <c r="B16" s="2"/>
      <c r="C16" s="2" t="s">
        <v>13</v>
      </c>
      <c r="D16" s="2" t="s">
        <v>15</v>
      </c>
      <c r="E16" s="4">
        <v>1</v>
      </c>
      <c r="F16" s="2">
        <v>6</v>
      </c>
      <c r="G16" s="2"/>
      <c r="H16" s="2"/>
      <c r="I16" s="2"/>
      <c r="J16" s="2"/>
      <c r="K16" s="2"/>
      <c r="L16" s="11"/>
      <c r="M16" s="13"/>
    </row>
    <row r="17" spans="1:13" x14ac:dyDescent="0.3">
      <c r="A17" s="2"/>
      <c r="B17" s="2"/>
      <c r="C17" s="2" t="s">
        <v>14</v>
      </c>
      <c r="D17" s="2" t="s">
        <v>13</v>
      </c>
      <c r="E17" s="4">
        <v>0</v>
      </c>
      <c r="F17" s="2">
        <v>1</v>
      </c>
      <c r="G17" s="2"/>
      <c r="H17" s="2"/>
      <c r="I17" s="2"/>
      <c r="J17" s="2"/>
      <c r="K17" s="2"/>
      <c r="L17" s="11"/>
      <c r="M17" s="13"/>
    </row>
    <row r="18" spans="1:13" x14ac:dyDescent="0.3">
      <c r="A18" s="2"/>
      <c r="B18" s="2"/>
      <c r="C18" s="2" t="s">
        <v>14</v>
      </c>
      <c r="D18" s="2" t="s">
        <v>15</v>
      </c>
      <c r="E18" s="4">
        <v>0</v>
      </c>
      <c r="F18" s="2">
        <v>8</v>
      </c>
      <c r="G18" s="2"/>
      <c r="H18" s="2"/>
      <c r="I18" s="2"/>
      <c r="J18" s="2"/>
      <c r="K18" s="2"/>
      <c r="L18" s="11"/>
      <c r="M18" s="13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1"/>
      <c r="M19" s="13"/>
    </row>
    <row r="20" spans="1:13" ht="15.6" x14ac:dyDescent="0.3">
      <c r="C20" s="18" t="s">
        <v>18</v>
      </c>
      <c r="D20" s="18"/>
      <c r="E20" s="5">
        <f>SUMPRODUCT(E5:E18,F5:F18)</f>
        <v>16</v>
      </c>
      <c r="F20" s="2"/>
      <c r="G20" s="2"/>
      <c r="H20" s="2"/>
      <c r="I20" s="2"/>
      <c r="J20" s="2"/>
      <c r="K20" s="2"/>
      <c r="L20" s="13"/>
      <c r="M20" s="13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13"/>
      <c r="M21" s="13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1"/>
      <c r="M22" s="13"/>
    </row>
    <row r="23" spans="1:13" x14ac:dyDescent="0.3">
      <c r="A23" s="2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3"/>
    </row>
  </sheetData>
  <mergeCells count="3">
    <mergeCell ref="C20:D20"/>
    <mergeCell ref="E1:F1"/>
    <mergeCell ref="E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zoomScale="70" zoomScaleNormal="99" workbookViewId="0">
      <selection activeCell="A5" sqref="A5:A7"/>
    </sheetView>
  </sheetViews>
  <sheetFormatPr defaultRowHeight="14.4" x14ac:dyDescent="0.3"/>
  <cols>
    <col min="1" max="1" width="33" customWidth="1"/>
    <col min="2" max="2" width="11.5546875" customWidth="1"/>
    <col min="5" max="5" width="14.44140625" customWidth="1"/>
    <col min="6" max="6" width="12.109375" customWidth="1"/>
    <col min="9" max="9" width="10.44140625" customWidth="1"/>
    <col min="11" max="11" width="10.5546875" customWidth="1"/>
  </cols>
  <sheetData>
    <row r="1" spans="1:12" ht="23.4" x14ac:dyDescent="0.45">
      <c r="E1" s="19" t="s">
        <v>21</v>
      </c>
      <c r="F1" s="19"/>
      <c r="G1" s="9"/>
      <c r="I1" s="1"/>
    </row>
    <row r="2" spans="1:12" ht="23.4" x14ac:dyDescent="0.45">
      <c r="E2" s="20" t="s">
        <v>0</v>
      </c>
      <c r="F2" s="20"/>
      <c r="G2" s="20"/>
      <c r="I2" s="1"/>
    </row>
    <row r="4" spans="1:12" ht="18" x14ac:dyDescent="0.35">
      <c r="A4" s="7"/>
      <c r="B4" s="7"/>
      <c r="C4" s="3"/>
      <c r="D4" s="3"/>
      <c r="E4" s="3"/>
      <c r="F4" s="3"/>
      <c r="G4" s="3"/>
      <c r="H4" s="3"/>
      <c r="I4" s="3"/>
      <c r="J4" s="3"/>
      <c r="K4" s="3"/>
    </row>
    <row r="5" spans="1:12" ht="18" x14ac:dyDescent="0.35">
      <c r="A5" s="7" t="s">
        <v>30</v>
      </c>
      <c r="B5" s="7"/>
      <c r="C5" s="2"/>
      <c r="D5" s="2"/>
      <c r="E5" s="6"/>
      <c r="F5" s="2"/>
      <c r="G5" s="2"/>
      <c r="H5" s="2"/>
      <c r="I5" s="4"/>
      <c r="J5" s="2"/>
      <c r="K5" s="2"/>
    </row>
    <row r="6" spans="1:12" ht="18" x14ac:dyDescent="0.35">
      <c r="A6" s="7" t="s">
        <v>31</v>
      </c>
      <c r="B6" s="7"/>
      <c r="C6" s="10" t="s">
        <v>1</v>
      </c>
      <c r="D6" s="10" t="s">
        <v>2</v>
      </c>
      <c r="E6" s="10" t="s">
        <v>3</v>
      </c>
      <c r="F6" s="10" t="s">
        <v>4</v>
      </c>
      <c r="G6" s="10"/>
      <c r="H6" s="10" t="s">
        <v>5</v>
      </c>
      <c r="I6" s="10" t="s">
        <v>6</v>
      </c>
      <c r="J6" s="10"/>
      <c r="K6" s="10" t="s">
        <v>7</v>
      </c>
    </row>
    <row r="7" spans="1:12" ht="18" x14ac:dyDescent="0.35">
      <c r="A7" s="7" t="s">
        <v>32</v>
      </c>
      <c r="B7" s="7"/>
      <c r="C7" s="2" t="s">
        <v>8</v>
      </c>
      <c r="D7" s="2" t="s">
        <v>9</v>
      </c>
      <c r="E7" s="4">
        <v>0</v>
      </c>
      <c r="F7" s="2">
        <v>4</v>
      </c>
      <c r="G7" s="2"/>
      <c r="H7" s="2" t="s">
        <v>8</v>
      </c>
      <c r="I7" s="4">
        <f>SUMIF($C$7:$C$30,H7,$E$7:$E$30)-SUMIF($D$7:$D$30,H7,$E$7:$E$30)</f>
        <v>1</v>
      </c>
      <c r="J7" s="2" t="s">
        <v>10</v>
      </c>
      <c r="K7" s="2">
        <v>1</v>
      </c>
    </row>
    <row r="8" spans="1:12" ht="18" x14ac:dyDescent="0.35">
      <c r="A8" s="7"/>
      <c r="B8" s="7"/>
      <c r="C8" s="2" t="s">
        <v>8</v>
      </c>
      <c r="D8" s="2" t="s">
        <v>11</v>
      </c>
      <c r="E8" s="4">
        <v>0</v>
      </c>
      <c r="F8" s="2">
        <v>3</v>
      </c>
      <c r="G8" s="2"/>
      <c r="H8" s="2" t="s">
        <v>9</v>
      </c>
      <c r="I8" s="4">
        <f t="shared" ref="I8:I17" si="0">SUMIF($C$7:$C$30,H8,$E$7:$E$30)-SUMIF($D$7:$D$30,H8,$E$7:$E$30)</f>
        <v>0</v>
      </c>
      <c r="J8" s="2" t="s">
        <v>10</v>
      </c>
      <c r="K8" s="2">
        <v>0</v>
      </c>
    </row>
    <row r="9" spans="1:12" ht="18" x14ac:dyDescent="0.35">
      <c r="A9" s="7" t="s">
        <v>20</v>
      </c>
      <c r="B9" s="7"/>
      <c r="C9" s="2" t="s">
        <v>8</v>
      </c>
      <c r="D9" s="2" t="s">
        <v>12</v>
      </c>
      <c r="E9" s="4">
        <v>1</v>
      </c>
      <c r="F9" s="2">
        <v>6</v>
      </c>
      <c r="G9" s="2"/>
      <c r="H9" s="2" t="s">
        <v>11</v>
      </c>
      <c r="I9" s="4">
        <f t="shared" si="0"/>
        <v>0</v>
      </c>
      <c r="J9" s="2" t="s">
        <v>10</v>
      </c>
      <c r="K9" s="2">
        <v>0</v>
      </c>
    </row>
    <row r="10" spans="1:12" x14ac:dyDescent="0.3">
      <c r="A10" s="2"/>
      <c r="B10" s="2"/>
      <c r="C10" s="2" t="s">
        <v>9</v>
      </c>
      <c r="D10" s="2" t="s">
        <v>13</v>
      </c>
      <c r="E10" s="4">
        <v>0</v>
      </c>
      <c r="F10" s="2">
        <v>3</v>
      </c>
      <c r="G10" s="2"/>
      <c r="H10" s="2" t="s">
        <v>12</v>
      </c>
      <c r="I10" s="4">
        <f t="shared" si="0"/>
        <v>0</v>
      </c>
      <c r="J10" s="2" t="s">
        <v>10</v>
      </c>
      <c r="K10" s="2">
        <v>0</v>
      </c>
    </row>
    <row r="11" spans="1:12" x14ac:dyDescent="0.3">
      <c r="A11" s="2"/>
      <c r="B11" s="2"/>
      <c r="C11" s="2" t="s">
        <v>9</v>
      </c>
      <c r="D11" s="2" t="s">
        <v>12</v>
      </c>
      <c r="E11" s="4">
        <v>0</v>
      </c>
      <c r="F11" s="2">
        <v>5</v>
      </c>
      <c r="G11" s="2"/>
      <c r="H11" s="2" t="s">
        <v>13</v>
      </c>
      <c r="I11" s="4">
        <f t="shared" si="0"/>
        <v>0</v>
      </c>
      <c r="J11" s="2" t="s">
        <v>10</v>
      </c>
      <c r="K11" s="2">
        <v>0</v>
      </c>
    </row>
    <row r="12" spans="1:12" x14ac:dyDescent="0.3">
      <c r="A12" s="2"/>
      <c r="B12" s="2"/>
      <c r="C12" s="2" t="s">
        <v>11</v>
      </c>
      <c r="D12" s="2" t="s">
        <v>12</v>
      </c>
      <c r="E12" s="4">
        <v>0</v>
      </c>
      <c r="F12" s="2">
        <v>4</v>
      </c>
      <c r="G12" s="2"/>
      <c r="H12" s="2" t="s">
        <v>14</v>
      </c>
      <c r="I12" s="4">
        <f t="shared" si="0"/>
        <v>0</v>
      </c>
      <c r="J12" s="2" t="s">
        <v>10</v>
      </c>
      <c r="K12" s="2">
        <v>0</v>
      </c>
      <c r="L12" s="2"/>
    </row>
    <row r="13" spans="1:12" x14ac:dyDescent="0.3">
      <c r="A13" s="2"/>
      <c r="B13" s="2"/>
      <c r="C13" s="2" t="s">
        <v>11</v>
      </c>
      <c r="D13" s="2" t="s">
        <v>14</v>
      </c>
      <c r="E13" s="4">
        <v>0</v>
      </c>
      <c r="F13" s="2">
        <v>6</v>
      </c>
      <c r="G13" s="2"/>
      <c r="H13" s="2" t="s">
        <v>23</v>
      </c>
      <c r="I13" s="4">
        <f t="shared" si="0"/>
        <v>0</v>
      </c>
      <c r="J13" s="2" t="s">
        <v>10</v>
      </c>
      <c r="K13" s="2">
        <v>0</v>
      </c>
      <c r="L13" s="2"/>
    </row>
    <row r="14" spans="1:12" x14ac:dyDescent="0.3">
      <c r="A14" s="2"/>
      <c r="B14" s="2"/>
      <c r="C14" s="2" t="s">
        <v>12</v>
      </c>
      <c r="D14" s="2" t="s">
        <v>13</v>
      </c>
      <c r="E14" s="4">
        <v>0</v>
      </c>
      <c r="F14" s="2">
        <v>2</v>
      </c>
      <c r="G14" s="2"/>
      <c r="H14" s="2" t="s">
        <v>24</v>
      </c>
      <c r="I14" s="4">
        <f t="shared" si="0"/>
        <v>0</v>
      </c>
      <c r="J14" s="2" t="s">
        <v>10</v>
      </c>
      <c r="K14" s="2">
        <v>0</v>
      </c>
      <c r="L14" s="2"/>
    </row>
    <row r="15" spans="1:12" x14ac:dyDescent="0.3">
      <c r="A15" s="2"/>
      <c r="B15" s="2"/>
      <c r="C15" s="2" t="s">
        <v>12</v>
      </c>
      <c r="D15" s="2" t="s">
        <v>23</v>
      </c>
      <c r="E15" s="4">
        <v>1</v>
      </c>
      <c r="F15" s="2">
        <v>2</v>
      </c>
      <c r="G15" s="2"/>
      <c r="H15" s="2" t="s">
        <v>25</v>
      </c>
      <c r="I15" s="4">
        <f t="shared" si="0"/>
        <v>0</v>
      </c>
      <c r="J15" s="2" t="s">
        <v>10</v>
      </c>
      <c r="K15" s="2">
        <v>0</v>
      </c>
      <c r="L15" s="2"/>
    </row>
    <row r="16" spans="1:12" x14ac:dyDescent="0.3">
      <c r="A16" s="2"/>
      <c r="B16" s="2"/>
      <c r="C16" s="2" t="s">
        <v>12</v>
      </c>
      <c r="D16" s="2" t="s">
        <v>14</v>
      </c>
      <c r="E16" s="4">
        <v>0</v>
      </c>
      <c r="F16" s="2">
        <v>5</v>
      </c>
      <c r="G16" s="2"/>
      <c r="H16" s="2" t="s">
        <v>26</v>
      </c>
      <c r="I16" s="4">
        <f t="shared" si="0"/>
        <v>0</v>
      </c>
      <c r="J16" s="2" t="s">
        <v>10</v>
      </c>
      <c r="K16" s="2">
        <v>0</v>
      </c>
      <c r="L16" s="2"/>
    </row>
    <row r="17" spans="1:12" x14ac:dyDescent="0.3">
      <c r="A17" s="2"/>
      <c r="B17" s="2"/>
      <c r="C17" s="2" t="s">
        <v>12</v>
      </c>
      <c r="D17" s="2" t="s">
        <v>11</v>
      </c>
      <c r="E17" s="4">
        <v>0</v>
      </c>
      <c r="F17" s="2">
        <v>4</v>
      </c>
      <c r="G17" s="2"/>
      <c r="H17" s="2" t="s">
        <v>15</v>
      </c>
      <c r="I17" s="4">
        <f t="shared" si="0"/>
        <v>-1</v>
      </c>
      <c r="J17" s="2" t="s">
        <v>10</v>
      </c>
      <c r="K17" s="2">
        <v>-1</v>
      </c>
      <c r="L17" s="2"/>
    </row>
    <row r="18" spans="1:12" x14ac:dyDescent="0.3">
      <c r="A18" s="2"/>
      <c r="B18" s="2"/>
      <c r="C18" s="2" t="s">
        <v>13</v>
      </c>
      <c r="D18" s="2" t="s">
        <v>24</v>
      </c>
      <c r="E18" s="4">
        <v>0</v>
      </c>
      <c r="F18" s="2">
        <v>4</v>
      </c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 t="s">
        <v>13</v>
      </c>
      <c r="D19" s="2" t="s">
        <v>23</v>
      </c>
      <c r="E19" s="4">
        <v>0</v>
      </c>
      <c r="F19" s="2">
        <v>2</v>
      </c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 t="s">
        <v>23</v>
      </c>
      <c r="D20" s="2" t="s">
        <v>24</v>
      </c>
      <c r="E20" s="4">
        <v>1</v>
      </c>
      <c r="F20" s="2">
        <v>2</v>
      </c>
      <c r="G20" s="2"/>
      <c r="H20" s="2"/>
      <c r="I20" s="2"/>
      <c r="J20" s="2"/>
      <c r="K20" s="2"/>
      <c r="L20" s="2"/>
    </row>
    <row r="21" spans="1:12" x14ac:dyDescent="0.3">
      <c r="A21" s="2"/>
      <c r="B21" s="2"/>
      <c r="C21" s="2" t="s">
        <v>23</v>
      </c>
      <c r="D21" s="2" t="s">
        <v>25</v>
      </c>
      <c r="E21" s="4">
        <v>0</v>
      </c>
      <c r="F21" s="2">
        <v>5</v>
      </c>
      <c r="G21" s="2"/>
      <c r="H21" s="2"/>
      <c r="I21" s="2"/>
      <c r="J21" s="2"/>
      <c r="K21" s="2"/>
      <c r="L21" s="2"/>
    </row>
    <row r="22" spans="1:12" ht="15.6" x14ac:dyDescent="0.3">
      <c r="A22" s="2"/>
      <c r="B22" s="2"/>
      <c r="C22" s="14" t="s">
        <v>23</v>
      </c>
      <c r="D22" s="14" t="s">
        <v>14</v>
      </c>
      <c r="E22" s="4">
        <v>0</v>
      </c>
      <c r="F22" s="2">
        <v>1</v>
      </c>
      <c r="G22" s="2"/>
      <c r="H22" s="2"/>
      <c r="I22" s="2"/>
      <c r="J22" s="2"/>
      <c r="K22" s="2"/>
      <c r="L22" s="2"/>
    </row>
    <row r="23" spans="1:12" x14ac:dyDescent="0.3">
      <c r="A23" s="2"/>
      <c r="B23" s="2"/>
      <c r="C23" s="2" t="s">
        <v>14</v>
      </c>
      <c r="D23" s="2" t="s">
        <v>23</v>
      </c>
      <c r="E23" s="6">
        <v>0</v>
      </c>
      <c r="F23" s="2">
        <v>1</v>
      </c>
      <c r="G23" s="2"/>
      <c r="H23" s="2"/>
      <c r="I23" s="2"/>
      <c r="J23" s="2"/>
      <c r="K23" s="2"/>
      <c r="L23" s="2"/>
    </row>
    <row r="24" spans="1:12" x14ac:dyDescent="0.3">
      <c r="A24" s="2"/>
      <c r="B24" s="2"/>
      <c r="C24" s="2" t="s">
        <v>14</v>
      </c>
      <c r="D24" s="2" t="s">
        <v>25</v>
      </c>
      <c r="E24" s="6">
        <v>0</v>
      </c>
      <c r="F24" s="2">
        <v>2</v>
      </c>
      <c r="G24" s="2"/>
      <c r="H24" s="2"/>
      <c r="I24" s="2"/>
      <c r="J24" s="2"/>
      <c r="K24" s="2"/>
      <c r="L24" s="2"/>
    </row>
    <row r="25" spans="1:12" x14ac:dyDescent="0.3">
      <c r="A25" s="2"/>
      <c r="B25" s="2"/>
      <c r="C25" s="2" t="s">
        <v>14</v>
      </c>
      <c r="D25" s="2" t="s">
        <v>26</v>
      </c>
      <c r="E25" s="6">
        <v>0</v>
      </c>
      <c r="F25" s="2">
        <v>5</v>
      </c>
      <c r="G25" s="2"/>
      <c r="H25" s="2"/>
      <c r="I25" s="2"/>
      <c r="J25" s="2"/>
      <c r="K25" s="2"/>
      <c r="L25" s="2"/>
    </row>
    <row r="26" spans="1:12" x14ac:dyDescent="0.3">
      <c r="A26" s="2"/>
      <c r="B26" s="2"/>
      <c r="C26" s="2" t="s">
        <v>24</v>
      </c>
      <c r="D26" s="2" t="s">
        <v>15</v>
      </c>
      <c r="E26" s="6">
        <v>1</v>
      </c>
      <c r="F26" s="2">
        <v>7</v>
      </c>
      <c r="G26" s="2"/>
      <c r="H26" s="2"/>
      <c r="I26" s="2"/>
      <c r="J26" s="2"/>
      <c r="K26" s="2"/>
      <c r="L26" s="2"/>
    </row>
    <row r="27" spans="1:12" x14ac:dyDescent="0.3">
      <c r="A27" s="2"/>
      <c r="B27" s="2"/>
      <c r="C27" s="2" t="s">
        <v>24</v>
      </c>
      <c r="D27" s="2" t="s">
        <v>25</v>
      </c>
      <c r="E27" s="2">
        <v>0</v>
      </c>
      <c r="F27" s="2">
        <v>2</v>
      </c>
      <c r="G27" s="2"/>
      <c r="H27" s="2"/>
      <c r="I27" s="2"/>
      <c r="J27" s="2"/>
      <c r="K27" s="2"/>
      <c r="L27" s="2"/>
    </row>
    <row r="28" spans="1:12" ht="15.6" x14ac:dyDescent="0.3">
      <c r="C28" s="17" t="s">
        <v>25</v>
      </c>
      <c r="D28" s="17" t="s">
        <v>15</v>
      </c>
      <c r="E28" s="16">
        <v>0</v>
      </c>
      <c r="F28" s="2">
        <v>8</v>
      </c>
      <c r="G28" s="2"/>
      <c r="H28" s="2"/>
      <c r="I28" s="2"/>
      <c r="J28" s="2"/>
      <c r="K28" s="2"/>
    </row>
    <row r="29" spans="1:12" x14ac:dyDescent="0.3">
      <c r="A29" s="2"/>
      <c r="B29" s="2"/>
      <c r="C29" s="2" t="s">
        <v>25</v>
      </c>
      <c r="D29" s="2" t="s">
        <v>26</v>
      </c>
      <c r="E29" s="15">
        <v>0</v>
      </c>
      <c r="F29" s="2">
        <v>3</v>
      </c>
      <c r="G29" s="2"/>
      <c r="H29" s="2"/>
      <c r="I29" s="2"/>
      <c r="J29" s="2"/>
      <c r="K29" s="2"/>
    </row>
    <row r="30" spans="1:12" x14ac:dyDescent="0.3">
      <c r="A30" s="2"/>
      <c r="B30" s="2"/>
      <c r="C30" s="2" t="s">
        <v>26</v>
      </c>
      <c r="D30" s="2" t="s">
        <v>15</v>
      </c>
      <c r="E30" s="2">
        <v>0</v>
      </c>
      <c r="F30" s="2">
        <v>4</v>
      </c>
      <c r="G30" s="2"/>
      <c r="H30" s="2"/>
      <c r="I30" s="2"/>
      <c r="J30" s="2"/>
      <c r="K30" s="2"/>
      <c r="L30" s="2"/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3" spans="3:5" x14ac:dyDescent="0.3">
      <c r="C33" s="2" t="s">
        <v>27</v>
      </c>
      <c r="E33">
        <f>SUMPRODUCT(E7:E30,F7:F30)</f>
        <v>17</v>
      </c>
    </row>
  </sheetData>
  <mergeCells count="2">
    <mergeCell ref="E1:F1"/>
    <mergeCell ref="E2:G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A2" sqref="A2"/>
    </sheetView>
  </sheetViews>
  <sheetFormatPr defaultRowHeight="14.4" x14ac:dyDescent="0.3"/>
  <cols>
    <col min="1" max="1" width="33.6640625" customWidth="1"/>
    <col min="5" max="5" width="14.5546875" customWidth="1"/>
  </cols>
  <sheetData>
    <row r="1" spans="1:12" ht="23.4" x14ac:dyDescent="0.45">
      <c r="E1" s="19" t="s">
        <v>21</v>
      </c>
      <c r="F1" s="19"/>
      <c r="G1" s="9"/>
      <c r="I1" s="1"/>
    </row>
    <row r="2" spans="1:12" ht="23.4" x14ac:dyDescent="0.45">
      <c r="E2" s="20" t="s">
        <v>0</v>
      </c>
      <c r="F2" s="20"/>
      <c r="G2" s="20"/>
      <c r="I2" s="1"/>
    </row>
    <row r="4" spans="1:12" ht="18" x14ac:dyDescent="0.35">
      <c r="A4" s="7"/>
      <c r="B4" s="10" t="s">
        <v>1</v>
      </c>
      <c r="C4" s="10" t="s">
        <v>2</v>
      </c>
      <c r="D4" s="10" t="s">
        <v>3</v>
      </c>
      <c r="E4" s="10" t="s">
        <v>4</v>
      </c>
      <c r="F4" s="10"/>
      <c r="G4" s="10" t="s">
        <v>5</v>
      </c>
      <c r="H4" s="10" t="s">
        <v>6</v>
      </c>
      <c r="I4" s="10"/>
      <c r="J4" s="10" t="s">
        <v>7</v>
      </c>
      <c r="K4" s="3"/>
    </row>
    <row r="5" spans="1:12" ht="18" x14ac:dyDescent="0.35">
      <c r="A5" s="7" t="s">
        <v>30</v>
      </c>
      <c r="B5" s="2" t="s">
        <v>28</v>
      </c>
      <c r="C5" s="2" t="s">
        <v>9</v>
      </c>
      <c r="D5" s="4">
        <v>0</v>
      </c>
      <c r="E5" s="2">
        <v>4.5999999999999996</v>
      </c>
      <c r="F5" s="2"/>
      <c r="G5" s="2" t="s">
        <v>28</v>
      </c>
      <c r="H5" s="4">
        <f>SUMIF($B$5:$B$17,G5,$D$5:$D$17)-SUMIF($C$5:$C$17,G5,$D$5:$D$17)</f>
        <v>1</v>
      </c>
      <c r="I5" s="2" t="s">
        <v>10</v>
      </c>
      <c r="J5" s="2">
        <v>1</v>
      </c>
      <c r="K5" s="2"/>
    </row>
    <row r="6" spans="1:12" ht="18" x14ac:dyDescent="0.35">
      <c r="A6" s="7" t="s">
        <v>31</v>
      </c>
      <c r="B6" s="2" t="s">
        <v>28</v>
      </c>
      <c r="C6" s="2" t="s">
        <v>11</v>
      </c>
      <c r="D6" s="4">
        <v>0</v>
      </c>
      <c r="E6" s="2">
        <v>4.7</v>
      </c>
      <c r="F6" s="2"/>
      <c r="G6" s="2" t="s">
        <v>9</v>
      </c>
      <c r="H6" s="4">
        <f t="shared" ref="H6:H12" si="0">SUMIF($B$5:$B$17,G6,$D$5:$D$17)-SUMIF($C$5:$C$17,G6,$D$5:$D$17)</f>
        <v>0</v>
      </c>
      <c r="I6" s="2" t="s">
        <v>10</v>
      </c>
      <c r="J6" s="2">
        <v>0</v>
      </c>
      <c r="K6" s="2"/>
    </row>
    <row r="7" spans="1:12" ht="18" x14ac:dyDescent="0.35">
      <c r="A7" s="7" t="s">
        <v>32</v>
      </c>
      <c r="B7" s="2" t="s">
        <v>28</v>
      </c>
      <c r="C7" s="2" t="s">
        <v>12</v>
      </c>
      <c r="D7" s="4">
        <v>1</v>
      </c>
      <c r="E7" s="2">
        <v>4.2</v>
      </c>
      <c r="F7" s="2"/>
      <c r="G7" s="2" t="s">
        <v>11</v>
      </c>
      <c r="H7" s="4">
        <f t="shared" si="0"/>
        <v>0</v>
      </c>
      <c r="I7" s="2" t="s">
        <v>10</v>
      </c>
      <c r="J7" s="2">
        <v>0</v>
      </c>
      <c r="K7" s="2"/>
    </row>
    <row r="8" spans="1:12" ht="18" x14ac:dyDescent="0.35">
      <c r="A8" s="7"/>
      <c r="B8" s="2" t="s">
        <v>9</v>
      </c>
      <c r="C8" s="2" t="s">
        <v>13</v>
      </c>
      <c r="D8" s="4">
        <v>0</v>
      </c>
      <c r="E8" s="2">
        <v>3.5</v>
      </c>
      <c r="F8" s="2"/>
      <c r="G8" s="2" t="s">
        <v>12</v>
      </c>
      <c r="H8" s="4">
        <f t="shared" si="0"/>
        <v>0</v>
      </c>
      <c r="I8" s="2" t="s">
        <v>10</v>
      </c>
      <c r="J8" s="2">
        <v>0</v>
      </c>
      <c r="K8" s="2"/>
    </row>
    <row r="9" spans="1:12" ht="18" x14ac:dyDescent="0.35">
      <c r="A9" s="7" t="s">
        <v>22</v>
      </c>
      <c r="B9" s="2" t="s">
        <v>9</v>
      </c>
      <c r="C9" s="2" t="s">
        <v>14</v>
      </c>
      <c r="D9" s="4">
        <v>0</v>
      </c>
      <c r="E9" s="2">
        <v>3.4</v>
      </c>
      <c r="F9" s="2"/>
      <c r="G9" s="2" t="s">
        <v>13</v>
      </c>
      <c r="H9" s="4">
        <f t="shared" si="0"/>
        <v>0</v>
      </c>
      <c r="I9" s="2" t="s">
        <v>10</v>
      </c>
      <c r="J9" s="2">
        <v>0</v>
      </c>
      <c r="K9" s="2"/>
    </row>
    <row r="10" spans="1:12" x14ac:dyDescent="0.3">
      <c r="A10" s="2"/>
      <c r="B10" s="2" t="s">
        <v>11</v>
      </c>
      <c r="C10" s="2" t="s">
        <v>13</v>
      </c>
      <c r="D10" s="4">
        <v>0</v>
      </c>
      <c r="E10" s="2">
        <v>3.6</v>
      </c>
      <c r="F10" s="2"/>
      <c r="G10" s="2" t="s">
        <v>14</v>
      </c>
      <c r="H10" s="4">
        <f t="shared" si="0"/>
        <v>0</v>
      </c>
      <c r="I10" s="2" t="s">
        <v>10</v>
      </c>
      <c r="J10" s="2">
        <v>0</v>
      </c>
      <c r="K10" s="2"/>
    </row>
    <row r="11" spans="1:12" x14ac:dyDescent="0.3">
      <c r="A11" s="2"/>
      <c r="B11" s="2" t="s">
        <v>11</v>
      </c>
      <c r="C11" s="2" t="s">
        <v>14</v>
      </c>
      <c r="D11" s="4">
        <v>0</v>
      </c>
      <c r="E11" s="2">
        <v>3.2</v>
      </c>
      <c r="F11" s="2"/>
      <c r="G11" s="2" t="s">
        <v>23</v>
      </c>
      <c r="H11" s="4">
        <f t="shared" si="0"/>
        <v>0</v>
      </c>
      <c r="I11" s="2" t="s">
        <v>10</v>
      </c>
      <c r="J11" s="2">
        <v>0</v>
      </c>
      <c r="K11" s="2"/>
    </row>
    <row r="12" spans="1:12" x14ac:dyDescent="0.3">
      <c r="A12" s="2"/>
      <c r="B12" s="2" t="s">
        <v>11</v>
      </c>
      <c r="C12" s="2" t="s">
        <v>23</v>
      </c>
      <c r="D12" s="4">
        <v>0</v>
      </c>
      <c r="E12" s="2">
        <v>3.3</v>
      </c>
      <c r="F12" s="2"/>
      <c r="G12" s="2" t="s">
        <v>29</v>
      </c>
      <c r="H12" s="4">
        <f t="shared" si="0"/>
        <v>-1</v>
      </c>
      <c r="I12" s="2" t="s">
        <v>10</v>
      </c>
      <c r="J12" s="2">
        <v>-1</v>
      </c>
      <c r="K12" s="2"/>
      <c r="L12" s="2"/>
    </row>
    <row r="13" spans="1:12" x14ac:dyDescent="0.3">
      <c r="A13" s="2"/>
      <c r="B13" s="2" t="s">
        <v>12</v>
      </c>
      <c r="C13" s="2" t="s">
        <v>14</v>
      </c>
      <c r="D13" s="4">
        <v>1</v>
      </c>
      <c r="E13" s="2">
        <v>3.5</v>
      </c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 t="s">
        <v>12</v>
      </c>
      <c r="C14" s="2" t="s">
        <v>23</v>
      </c>
      <c r="D14" s="4">
        <v>0</v>
      </c>
      <c r="E14" s="2">
        <v>3.4</v>
      </c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 t="s">
        <v>13</v>
      </c>
      <c r="C15" s="2" t="s">
        <v>29</v>
      </c>
      <c r="D15" s="4">
        <v>0</v>
      </c>
      <c r="E15" s="2">
        <v>3.4</v>
      </c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 t="s">
        <v>14</v>
      </c>
      <c r="C16" s="2" t="s">
        <v>29</v>
      </c>
      <c r="D16" s="4">
        <v>1</v>
      </c>
      <c r="E16" s="2">
        <v>3.6</v>
      </c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 t="s">
        <v>23</v>
      </c>
      <c r="C17" s="2" t="s">
        <v>29</v>
      </c>
      <c r="D17" s="4">
        <v>0</v>
      </c>
      <c r="E17" s="2">
        <v>3.8</v>
      </c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4"/>
      <c r="E18" s="2"/>
      <c r="F18" s="2"/>
      <c r="G18" s="2"/>
      <c r="H18" s="2"/>
      <c r="I18" s="2"/>
      <c r="J18" s="2"/>
      <c r="K18" s="2"/>
      <c r="L18" s="2"/>
    </row>
    <row r="19" spans="1:12" x14ac:dyDescent="0.3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2" ht="15.6" x14ac:dyDescent="0.3">
      <c r="A20" s="2"/>
      <c r="B20" s="18" t="s">
        <v>18</v>
      </c>
      <c r="C20" s="18"/>
      <c r="D20" s="5">
        <f>SUMPRODUCT(D5:D17,E5:E17)</f>
        <v>11.3</v>
      </c>
      <c r="E20" s="2"/>
      <c r="F20" s="2"/>
      <c r="G20" s="2"/>
      <c r="H20" s="2"/>
      <c r="I20" s="2"/>
      <c r="J20" s="2"/>
      <c r="K20" s="2"/>
    </row>
    <row r="21" spans="1:12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5" spans="1:12" x14ac:dyDescent="0.3">
      <c r="I25" t="s">
        <v>16</v>
      </c>
    </row>
  </sheetData>
  <mergeCells count="3">
    <mergeCell ref="E2:G2"/>
    <mergeCell ref="E1:F1"/>
    <mergeCell ref="B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1 (a)</vt:lpstr>
      <vt:lpstr>1(b)</vt:lpstr>
      <vt:lpstr>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</dc:creator>
  <cp:lastModifiedBy>Husain</cp:lastModifiedBy>
  <dcterms:created xsi:type="dcterms:W3CDTF">2024-04-09T08:27:02Z</dcterms:created>
  <dcterms:modified xsi:type="dcterms:W3CDTF">2024-11-20T06:31:52Z</dcterms:modified>
</cp:coreProperties>
</file>